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PRBO\Downloads\"/>
    </mc:Choice>
  </mc:AlternateContent>
  <xr:revisionPtr revIDLastSave="0" documentId="13_ncr:1_{B26DA24B-C489-49EB-B50F-CB4660786388}" xr6:coauthVersionLast="47" xr6:coauthVersionMax="47" xr10:uidLastSave="{00000000-0000-0000-0000-000000000000}"/>
  <bookViews>
    <workbookView xWindow="28680" yWindow="-120" windowWidth="29040" windowHeight="15720" activeTab="1" xr2:uid="{8C5D2E33-55AA-4A10-997D-C6C7E2C033B2}"/>
  </bookViews>
  <sheets>
    <sheet name="DEF" sheetId="3" r:id="rId1"/>
    <sheet name="CALC" sheetId="2" r:id="rId2"/>
    <sheet name="TAB" sheetId="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02" i="2" l="1"/>
  <c r="I41" i="2"/>
  <c r="I40" i="2"/>
  <c r="J104" i="2"/>
  <c r="K83" i="2"/>
  <c r="K93" i="2"/>
  <c r="K104" i="2"/>
  <c r="K101" i="2"/>
  <c r="J101" i="2"/>
  <c r="I39" i="2"/>
  <c r="I37" i="2"/>
  <c r="J30" i="2"/>
  <c r="G31" i="2"/>
  <c r="G36" i="2"/>
  <c r="G35" i="2"/>
  <c r="G34" i="2"/>
  <c r="G33" i="2"/>
  <c r="G32" i="2"/>
  <c r="I30" i="2" s="1"/>
  <c r="I29" i="2" s="1"/>
  <c r="J36" i="2"/>
  <c r="J35" i="2"/>
  <c r="J34" i="2"/>
  <c r="J33" i="2"/>
  <c r="J32" i="2"/>
  <c r="I82" i="2"/>
  <c r="I23" i="2"/>
  <c r="J86" i="2"/>
  <c r="I21" i="2"/>
  <c r="I19" i="2"/>
  <c r="J20" i="2"/>
  <c r="I17" i="2"/>
  <c r="I95" i="2"/>
  <c r="J75" i="2"/>
  <c r="J80" i="2"/>
  <c r="J79" i="2"/>
  <c r="J78" i="2"/>
  <c r="J77" i="2"/>
  <c r="I38" i="2" l="1"/>
  <c r="I24" i="2"/>
  <c r="I18" i="2"/>
  <c r="I16" i="2"/>
</calcChain>
</file>

<file path=xl/sharedStrings.xml><?xml version="1.0" encoding="utf-8"?>
<sst xmlns="http://schemas.openxmlformats.org/spreadsheetml/2006/main" count="265" uniqueCount="182">
  <si>
    <t>SIGLAS</t>
  </si>
  <si>
    <t>SPDA</t>
  </si>
  <si>
    <t>Sistema de Proteção Contra Descarga Atmosféricas</t>
  </si>
  <si>
    <t>ZPDA</t>
  </si>
  <si>
    <t>Zonas de Proteção Contra Descargas Atmosféricas</t>
  </si>
  <si>
    <t>01.</t>
  </si>
  <si>
    <t>Perdas de vidas humanas ou invalidez permanente</t>
  </si>
  <si>
    <t>02.</t>
  </si>
  <si>
    <t>Perdas de serviços públicos</t>
  </si>
  <si>
    <t>04.</t>
  </si>
  <si>
    <t>Perdas econômicas</t>
  </si>
  <si>
    <t>Risco</t>
  </si>
  <si>
    <t>Risco Tolerável</t>
  </si>
  <si>
    <t>PARÂMETROS</t>
  </si>
  <si>
    <t>SIMB.</t>
  </si>
  <si>
    <t>UNID.</t>
  </si>
  <si>
    <t>VALOR</t>
  </si>
  <si>
    <t>OBSERVAÇÃO</t>
  </si>
  <si>
    <t>R</t>
  </si>
  <si>
    <r>
      <t>R</t>
    </r>
    <r>
      <rPr>
        <vertAlign val="subscript"/>
        <sz val="10"/>
        <color theme="1"/>
        <rFont val="Arial Narrow"/>
        <family val="2"/>
      </rPr>
      <t>T</t>
    </r>
  </si>
  <si>
    <t>Meios de Proteção</t>
  </si>
  <si>
    <t>Nível de Proteção</t>
  </si>
  <si>
    <t>NÍVEL DE PROTEÇÃO</t>
  </si>
  <si>
    <t>I</t>
  </si>
  <si>
    <t>II</t>
  </si>
  <si>
    <t>III</t>
  </si>
  <si>
    <t>IV</t>
  </si>
  <si>
    <r>
      <t>Componente R</t>
    </r>
    <r>
      <rPr>
        <vertAlign val="subscript"/>
        <sz val="10"/>
        <color theme="1"/>
        <rFont val="Arial Narrow"/>
        <family val="2"/>
      </rPr>
      <t>X</t>
    </r>
  </si>
  <si>
    <r>
      <t>R</t>
    </r>
    <r>
      <rPr>
        <vertAlign val="subscript"/>
        <sz val="10"/>
        <color theme="1"/>
        <rFont val="Arial Narrow"/>
        <family val="2"/>
      </rPr>
      <t>X</t>
    </r>
  </si>
  <si>
    <t>●</t>
  </si>
  <si>
    <t>A.</t>
  </si>
  <si>
    <t>B.</t>
  </si>
  <si>
    <t>C.</t>
  </si>
  <si>
    <t>D.</t>
  </si>
  <si>
    <t>03.</t>
  </si>
  <si>
    <t>05.</t>
  </si>
  <si>
    <r>
      <t>N</t>
    </r>
    <r>
      <rPr>
        <vertAlign val="subscript"/>
        <sz val="10"/>
        <color theme="1"/>
        <rFont val="Arial Narrow"/>
        <family val="2"/>
      </rPr>
      <t>X</t>
    </r>
  </si>
  <si>
    <r>
      <t>P</t>
    </r>
    <r>
      <rPr>
        <vertAlign val="subscript"/>
        <sz val="10"/>
        <color theme="1"/>
        <rFont val="Arial Narrow"/>
        <family val="2"/>
      </rPr>
      <t>X</t>
    </r>
  </si>
  <si>
    <t>Montante das perdas geradas por essa falha</t>
  </si>
  <si>
    <r>
      <t>L</t>
    </r>
    <r>
      <rPr>
        <vertAlign val="subscript"/>
        <sz val="10"/>
        <color theme="1"/>
        <rFont val="Arial Narrow"/>
        <family val="2"/>
      </rPr>
      <t>X</t>
    </r>
  </si>
  <si>
    <t>Probabilidade da falha decorrente do(s) evento(s)</t>
  </si>
  <si>
    <t>Nº de eventos perigosos / ano para a estrutura</t>
  </si>
  <si>
    <t>FONTE DE DANO</t>
  </si>
  <si>
    <t>Estrutura</t>
  </si>
  <si>
    <t>Serviço</t>
  </si>
  <si>
    <t>Próximo da Estrutura</t>
  </si>
  <si>
    <t>Próximo do Serviço</t>
  </si>
  <si>
    <t>TIPO DO DANO</t>
  </si>
  <si>
    <t>Serviços Públicos</t>
  </si>
  <si>
    <t>Patrimônio Cultural</t>
  </si>
  <si>
    <t>Valores Econômicos</t>
  </si>
  <si>
    <t>Vidas</t>
  </si>
  <si>
    <t>Características da Estrutura</t>
  </si>
  <si>
    <t>-</t>
  </si>
  <si>
    <t>Altura</t>
  </si>
  <si>
    <t>Comprimento</t>
  </si>
  <si>
    <t>Tipo de utilização</t>
  </si>
  <si>
    <t>Nº de Pessoas</t>
  </si>
  <si>
    <t>Materiais</t>
  </si>
  <si>
    <t>Densidade anual de descargas atmosféricas no local</t>
  </si>
  <si>
    <t>Tipos de Perdas</t>
  </si>
  <si>
    <r>
      <t>N</t>
    </r>
    <r>
      <rPr>
        <vertAlign val="subscript"/>
        <sz val="10"/>
        <color theme="1"/>
        <rFont val="Arial Narrow"/>
        <family val="2"/>
      </rPr>
      <t>D</t>
    </r>
  </si>
  <si>
    <r>
      <t>N</t>
    </r>
    <r>
      <rPr>
        <vertAlign val="subscript"/>
        <sz val="10"/>
        <color theme="1"/>
        <rFont val="Arial Narrow"/>
        <family val="2"/>
      </rPr>
      <t>M</t>
    </r>
  </si>
  <si>
    <r>
      <t>N</t>
    </r>
    <r>
      <rPr>
        <vertAlign val="subscript"/>
        <sz val="10"/>
        <color theme="1"/>
        <rFont val="Arial Narrow"/>
        <family val="2"/>
      </rPr>
      <t>L</t>
    </r>
  </si>
  <si>
    <t>un / ano</t>
  </si>
  <si>
    <t>NOTAS</t>
  </si>
  <si>
    <r>
      <t>N</t>
    </r>
    <r>
      <rPr>
        <vertAlign val="subscript"/>
        <sz val="10"/>
        <color theme="1"/>
        <rFont val="Arial Narrow"/>
        <family val="2"/>
      </rPr>
      <t>I</t>
    </r>
  </si>
  <si>
    <r>
      <t>A</t>
    </r>
    <r>
      <rPr>
        <vertAlign val="subscript"/>
        <sz val="10"/>
        <color theme="1"/>
        <rFont val="Arial Narrow"/>
        <family val="2"/>
      </rPr>
      <t>D</t>
    </r>
  </si>
  <si>
    <t>&gt;</t>
  </si>
  <si>
    <t>A estrutura é parte de outra</t>
  </si>
  <si>
    <t>Sim (x)</t>
  </si>
  <si>
    <t>A estrutura é uma porção vertical separado de outra</t>
  </si>
  <si>
    <t>A estrutura mão não tem risco de explosão</t>
  </si>
  <si>
    <t>A propagação entre estruturas é evitada com paredes corta-fogo de 120 min.</t>
  </si>
  <si>
    <t>A propagação de sobetensões é evitação por DST</t>
  </si>
  <si>
    <t>x</t>
  </si>
  <si>
    <r>
      <t>Superfície equivalente</t>
    </r>
    <r>
      <rPr>
        <vertAlign val="superscript"/>
        <sz val="10"/>
        <color theme="1"/>
        <rFont val="Arial Narrow"/>
        <family val="2"/>
      </rPr>
      <t>(2)</t>
    </r>
  </si>
  <si>
    <r>
      <t>Impactos sobre a estrutura</t>
    </r>
    <r>
      <rPr>
        <vertAlign val="superscript"/>
        <sz val="10"/>
        <color theme="1"/>
        <rFont val="Arial Narrow"/>
        <family val="2"/>
      </rPr>
      <t>(1)</t>
    </r>
  </si>
  <si>
    <r>
      <t>Impactos próximos da estrutura</t>
    </r>
    <r>
      <rPr>
        <vertAlign val="superscript"/>
        <sz val="10"/>
        <color theme="1"/>
        <rFont val="Arial Narrow"/>
        <family val="2"/>
      </rPr>
      <t>(1)</t>
    </r>
  </si>
  <si>
    <r>
      <t>Impactos próximos das linhas de serviços</t>
    </r>
    <r>
      <rPr>
        <vertAlign val="superscript"/>
        <sz val="10"/>
        <color theme="1"/>
        <rFont val="Arial Narrow"/>
        <family val="2"/>
      </rPr>
      <t>(1)</t>
    </r>
  </si>
  <si>
    <r>
      <t>Impactos nas linhas de serviço</t>
    </r>
    <r>
      <rPr>
        <vertAlign val="superscript"/>
        <sz val="10"/>
        <color theme="1"/>
        <rFont val="Arial Narrow"/>
        <family val="2"/>
      </rPr>
      <t>(1)</t>
    </r>
  </si>
  <si>
    <t>(1)</t>
  </si>
  <si>
    <t>Média anual.</t>
  </si>
  <si>
    <t>(2)</t>
  </si>
  <si>
    <t>Área de uma polilinha com offset de 3 vezes a altura da edificação (3H), sendo os cantos arredondados com raio de 3H.</t>
  </si>
  <si>
    <r>
      <t>N</t>
    </r>
    <r>
      <rPr>
        <vertAlign val="subscript"/>
        <sz val="10"/>
        <color theme="1"/>
        <rFont val="Arial Narrow"/>
        <family val="2"/>
      </rPr>
      <t>G</t>
    </r>
  </si>
  <si>
    <r>
      <t>un / km</t>
    </r>
    <r>
      <rPr>
        <vertAlign val="superscript"/>
        <sz val="10"/>
        <color theme="1"/>
        <rFont val="Arial Narrow"/>
        <family val="2"/>
      </rPr>
      <t>2</t>
    </r>
    <r>
      <rPr>
        <sz val="10"/>
        <color theme="1"/>
        <rFont val="Arial Narrow"/>
        <family val="2"/>
      </rPr>
      <t xml:space="preserve"> / ano</t>
    </r>
  </si>
  <si>
    <r>
      <t>m</t>
    </r>
    <r>
      <rPr>
        <vertAlign val="superscript"/>
        <sz val="10"/>
        <color theme="1"/>
        <rFont val="Arial Narrow"/>
        <family val="2"/>
      </rPr>
      <t>2</t>
    </r>
  </si>
  <si>
    <t>LOCALIZAÇÃO</t>
  </si>
  <si>
    <t>Estrutura rodeada por outras mais altas</t>
  </si>
  <si>
    <t>Estrutura rodeada por outras da mesma altura</t>
  </si>
  <si>
    <t>Estrutura rodeada por árvores da mesma altura</t>
  </si>
  <si>
    <t>Estrutura rodeada por outras mais baixas</t>
  </si>
  <si>
    <t>Estrutura rodeada por árvores mais baixas</t>
  </si>
  <si>
    <t>Estrutura rodeada por árvores mais altas</t>
  </si>
  <si>
    <t>Estrutura isolada</t>
  </si>
  <si>
    <t>Estrutua isolada no topo de uma colina</t>
  </si>
  <si>
    <r>
      <t>C</t>
    </r>
    <r>
      <rPr>
        <vertAlign val="subscript"/>
        <sz val="10"/>
        <color theme="1"/>
        <rFont val="Arial Narrow"/>
        <family val="2"/>
      </rPr>
      <t>D</t>
    </r>
  </si>
  <si>
    <t>Tem transformador dentro da estrutura</t>
  </si>
  <si>
    <r>
      <t>C</t>
    </r>
    <r>
      <rPr>
        <vertAlign val="subscript"/>
        <sz val="10"/>
        <color theme="1"/>
        <rFont val="Arial Narrow"/>
        <family val="2"/>
      </rPr>
      <t>T</t>
    </r>
  </si>
  <si>
    <t>Fator de Correção</t>
  </si>
  <si>
    <t>Fator de Localização</t>
  </si>
  <si>
    <r>
      <t>A</t>
    </r>
    <r>
      <rPr>
        <vertAlign val="subscript"/>
        <sz val="10"/>
        <color theme="1"/>
        <rFont val="Arial Narrow"/>
        <family val="2"/>
      </rPr>
      <t>M</t>
    </r>
  </si>
  <si>
    <r>
      <t>Área de Influência da estrutura</t>
    </r>
    <r>
      <rPr>
        <vertAlign val="superscript"/>
        <sz val="10"/>
        <color theme="1"/>
        <rFont val="Arial Narrow"/>
        <family val="2"/>
      </rPr>
      <t>(3)</t>
    </r>
  </si>
  <si>
    <t>Área de uma polilinha com offset de 500 m do perímetro da edificação, sendo os cantos arredondados com raio de 500 m.</t>
  </si>
  <si>
    <t>Superfície equivalente de Descargas Atmosféricas (DA)</t>
  </si>
  <si>
    <r>
      <t>A</t>
    </r>
    <r>
      <rPr>
        <vertAlign val="subscript"/>
        <sz val="10"/>
        <color theme="1"/>
        <rFont val="Arial Narrow"/>
        <family val="2"/>
      </rPr>
      <t>L</t>
    </r>
  </si>
  <si>
    <t>Comprimento do troço da linha</t>
  </si>
  <si>
    <t>m</t>
  </si>
  <si>
    <r>
      <t>L</t>
    </r>
    <r>
      <rPr>
        <vertAlign val="subscript"/>
        <sz val="10"/>
        <color theme="1"/>
        <rFont val="Arial Narrow"/>
        <family val="2"/>
      </rPr>
      <t>L</t>
    </r>
  </si>
  <si>
    <t>Fator de instalação da linha</t>
  </si>
  <si>
    <r>
      <t>C</t>
    </r>
    <r>
      <rPr>
        <vertAlign val="subscript"/>
        <sz val="10"/>
        <color theme="1"/>
        <rFont val="Arial Narrow"/>
        <family val="2"/>
      </rPr>
      <t>I</t>
    </r>
  </si>
  <si>
    <t>TIPO DE LINHA</t>
  </si>
  <si>
    <t>Aérea</t>
  </si>
  <si>
    <t>Enterrada</t>
  </si>
  <si>
    <t>Enterrada dentro da malha de Terra</t>
  </si>
  <si>
    <t>ρ</t>
  </si>
  <si>
    <t>Ω</t>
  </si>
  <si>
    <t>Fator ambiental</t>
  </si>
  <si>
    <r>
      <t>C</t>
    </r>
    <r>
      <rPr>
        <vertAlign val="subscript"/>
        <sz val="10"/>
        <color theme="1"/>
        <rFont val="Arial Narrow"/>
        <family val="2"/>
      </rPr>
      <t>E</t>
    </r>
  </si>
  <si>
    <t>FATOR AMBIENTAL</t>
  </si>
  <si>
    <t>Rural</t>
  </si>
  <si>
    <t>Suburbano c/ edifícios de h &lt; 10 m</t>
  </si>
  <si>
    <t>Urbano c/ edifícios de 10 ≤ h ≤ 20 m</t>
  </si>
  <si>
    <t>Urbano c/ edifícios de h &gt; 20 m</t>
  </si>
  <si>
    <t xml:space="preserve">Meio Ambiente: </t>
  </si>
  <si>
    <t>Superfície equivalente de exposição</t>
  </si>
  <si>
    <r>
      <t>A</t>
    </r>
    <r>
      <rPr>
        <vertAlign val="subscript"/>
        <sz val="10"/>
        <color theme="1"/>
        <rFont val="Arial Narrow"/>
        <family val="2"/>
      </rPr>
      <t>I</t>
    </r>
  </si>
  <si>
    <r>
      <t>P</t>
    </r>
    <r>
      <rPr>
        <vertAlign val="subscript"/>
        <sz val="10"/>
        <color theme="1"/>
        <rFont val="Arial Narrow"/>
        <family val="2"/>
      </rPr>
      <t>A</t>
    </r>
  </si>
  <si>
    <t>Medidas Adicionais de Proteção</t>
  </si>
  <si>
    <t xml:space="preserve">  Sem Medidas</t>
  </si>
  <si>
    <t xml:space="preserve">  Avisos</t>
  </si>
  <si>
    <t xml:space="preserve">  Isolamento elétrico de condutores expostos</t>
  </si>
  <si>
    <t xml:space="preserve">  Equipotencialização efectiva do solo</t>
  </si>
  <si>
    <t xml:space="preserve">  Com medidas de reforço da estrutura utilizada como condutor de baixada</t>
  </si>
  <si>
    <t xml:space="preserve">  Armadura metálica de reforço da estrutura utilizada como condutor de baixada</t>
  </si>
  <si>
    <r>
      <t>P</t>
    </r>
    <r>
      <rPr>
        <vertAlign val="subscript"/>
        <sz val="10"/>
        <color theme="1"/>
        <rFont val="Arial Narrow"/>
        <family val="2"/>
      </rPr>
      <t>TA</t>
    </r>
  </si>
  <si>
    <r>
      <t>P</t>
    </r>
    <r>
      <rPr>
        <vertAlign val="subscript"/>
        <sz val="10"/>
        <color theme="1"/>
        <rFont val="Arial Narrow"/>
        <family val="2"/>
      </rPr>
      <t>B</t>
    </r>
  </si>
  <si>
    <t>Nível do SPDA</t>
  </si>
  <si>
    <t>I+</t>
  </si>
  <si>
    <t>I++</t>
  </si>
  <si>
    <t>Ñ Protegida</t>
  </si>
  <si>
    <t>Probabilidade do impacto provocar danos físicos</t>
  </si>
  <si>
    <t>Probabilidade do inpacto causar dano(s) para seres vivos</t>
  </si>
  <si>
    <t>Probabilidade do impacto provocar falhas na(s) rede(s) interna(s)</t>
  </si>
  <si>
    <r>
      <t>N</t>
    </r>
    <r>
      <rPr>
        <vertAlign val="subscript"/>
        <sz val="10"/>
        <color theme="1"/>
        <rFont val="Arial Narrow"/>
        <family val="2"/>
      </rPr>
      <t>P</t>
    </r>
  </si>
  <si>
    <r>
      <t>P</t>
    </r>
    <r>
      <rPr>
        <vertAlign val="subscript"/>
        <sz val="10"/>
        <color theme="1"/>
        <rFont val="Arial Narrow"/>
        <family val="2"/>
      </rPr>
      <t>SPD</t>
    </r>
  </si>
  <si>
    <t>Fator - Coordenação de descarregadores (DST)</t>
  </si>
  <si>
    <t>Fator - Condições de ligação das redes internas</t>
  </si>
  <si>
    <r>
      <t>C</t>
    </r>
    <r>
      <rPr>
        <vertAlign val="subscript"/>
        <sz val="10"/>
        <color theme="1"/>
        <rFont val="Arial Narrow"/>
        <family val="2"/>
      </rPr>
      <t>LI</t>
    </r>
  </si>
  <si>
    <r>
      <t>C</t>
    </r>
    <r>
      <rPr>
        <vertAlign val="subscript"/>
        <sz val="10"/>
        <color theme="1"/>
        <rFont val="Arial Narrow"/>
        <family val="2"/>
      </rPr>
      <t>LD</t>
    </r>
  </si>
  <si>
    <t>Características da Linhas externas</t>
  </si>
  <si>
    <t>Tipo de linha externa</t>
  </si>
  <si>
    <t>Tipo de ligação à entrada</t>
  </si>
  <si>
    <t>BLNDAGEM</t>
  </si>
  <si>
    <t>Blindada</t>
  </si>
  <si>
    <t>Ñ Blindada</t>
  </si>
  <si>
    <t>Ligação à entrada</t>
  </si>
  <si>
    <t xml:space="preserve">Tipo de Linha / Blindagem: </t>
  </si>
  <si>
    <t>Ligação ao barramento do equipamento</t>
  </si>
  <si>
    <t>Características do Solo</t>
  </si>
  <si>
    <t>Resistividade do solo</t>
  </si>
  <si>
    <t>LIGAÇÃO AO BARRAMENTO</t>
  </si>
  <si>
    <t>Sim</t>
  </si>
  <si>
    <t>Não</t>
  </si>
  <si>
    <t>Ñ Definido</t>
  </si>
  <si>
    <t>Nenhuma</t>
  </si>
  <si>
    <t>Cabo de proteção contra DA ou conduta metálica</t>
  </si>
  <si>
    <t>SIM / NÃO</t>
  </si>
  <si>
    <r>
      <t>P</t>
    </r>
    <r>
      <rPr>
        <vertAlign val="subscript"/>
        <sz val="10"/>
        <color theme="1"/>
        <rFont val="Arial Narrow"/>
        <family val="2"/>
      </rPr>
      <t>C</t>
    </r>
  </si>
  <si>
    <t>Probabilidade de impacto nas proximidades provocar falha(s) na(s) rede(s) interna(s)</t>
  </si>
  <si>
    <r>
      <t>P</t>
    </r>
    <r>
      <rPr>
        <vertAlign val="subscript"/>
        <sz val="10"/>
        <color theme="1"/>
        <rFont val="Arial Narrow"/>
        <family val="2"/>
      </rPr>
      <t>M</t>
    </r>
  </si>
  <si>
    <r>
      <t>P</t>
    </r>
    <r>
      <rPr>
        <vertAlign val="subscript"/>
        <sz val="10"/>
        <color theme="1"/>
        <rFont val="Arial Narrow"/>
        <family val="2"/>
      </rPr>
      <t>MS</t>
    </r>
  </si>
  <si>
    <t xml:space="preserve">  Eficácia da blindagem proporcionado pela estrutura</t>
  </si>
  <si>
    <t xml:space="preserve">  Eficácia da blindagem interna da estrutura</t>
  </si>
  <si>
    <t xml:space="preserve">  Características de blindagem e tensão de isolamento dos serviços a proteger</t>
  </si>
  <si>
    <t>Fator</t>
  </si>
  <si>
    <t>Probabilidade de impacto sobre a linha resulte em ferimentos em seres vivos</t>
  </si>
  <si>
    <r>
      <t>P</t>
    </r>
    <r>
      <rPr>
        <vertAlign val="subscript"/>
        <sz val="10"/>
        <color theme="1"/>
        <rFont val="Arial Narrow"/>
        <family val="2"/>
      </rPr>
      <t>U</t>
    </r>
  </si>
  <si>
    <r>
      <t>P</t>
    </r>
    <r>
      <rPr>
        <vertAlign val="subscript"/>
        <sz val="10"/>
        <color theme="1"/>
        <rFont val="Arial Narrow"/>
        <family val="2"/>
      </rPr>
      <t>TU</t>
    </r>
  </si>
  <si>
    <r>
      <t>P</t>
    </r>
    <r>
      <rPr>
        <vertAlign val="subscript"/>
        <sz val="10"/>
        <color theme="1"/>
        <rFont val="Arial Narrow"/>
        <family val="2"/>
      </rPr>
      <t>EB</t>
    </r>
  </si>
  <si>
    <r>
      <t>P</t>
    </r>
    <r>
      <rPr>
        <vertAlign val="subscript"/>
        <sz val="10"/>
        <color theme="1"/>
        <rFont val="Arial Narrow"/>
        <family val="2"/>
      </rPr>
      <t>LD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</si>
</sst>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"/>
    <numFmt numFmtId="165" formatCode="#,##0.00000000"/>
    <numFmt numFmtId="166" formatCode="#,##0.000"/>
  </numFmts>
  <fonts count="8" x14ac:knownFonts="1">
    <font>
      <sz val="10"/>
      <color theme="1"/>
      <name val="Arial Narrow"/>
      <family val="2"/>
    </font>
    <font>
      <b/>
      <sz val="10"/>
      <color theme="1"/>
      <name val="Arial Narrow"/>
      <family val="2"/>
    </font>
    <font>
      <b/>
      <sz val="10"/>
      <name val="Arial Narrow"/>
      <family val="2"/>
    </font>
    <font>
      <vertAlign val="subscript"/>
      <sz val="10"/>
      <color theme="1"/>
      <name val="Arial Narrow"/>
      <family val="2"/>
    </font>
    <font>
      <sz val="10"/>
      <color theme="0" tint="-0.249977111117893"/>
      <name val="Arial Narrow"/>
      <family val="2"/>
    </font>
    <font>
      <vertAlign val="superscript"/>
      <sz val="10"/>
      <color theme="1"/>
      <name val="Arial Narrow"/>
      <family val="2"/>
    </font>
    <font>
      <b/>
      <sz val="10"/>
      <color rgb="FFFF0000"/>
      <name val="Arial Narrow"/>
      <family val="2"/>
    </font>
    <font>
      <sz val="10"/>
      <color rgb="FF7030A0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0" borderId="1" xfId="0" applyBorder="1"/>
    <xf numFmtId="0" fontId="1" fillId="2" borderId="1" xfId="0" applyFont="1" applyFill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/>
    <xf numFmtId="0" fontId="1" fillId="0" borderId="0" xfId="0" applyFont="1" applyFill="1" applyBorder="1" applyAlignment="1">
      <alignment horizontal="center" vertical="center"/>
    </xf>
    <xf numFmtId="0" fontId="0" fillId="0" borderId="0" xfId="0" applyAlignment="1"/>
    <xf numFmtId="0" fontId="0" fillId="3" borderId="0" xfId="0" applyFill="1"/>
    <xf numFmtId="0" fontId="0" fillId="3" borderId="0" xfId="0" applyFill="1" applyAlignment="1">
      <alignment horizontal="center" vertical="center"/>
    </xf>
    <xf numFmtId="49" fontId="5" fillId="0" borderId="0" xfId="0" applyNumberFormat="1" applyFont="1"/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 vertical="center"/>
    </xf>
    <xf numFmtId="4" fontId="7" fillId="0" borderId="0" xfId="0" applyNumberFormat="1" applyFont="1" applyAlignment="1">
      <alignment horizontal="right" vertical="center"/>
    </xf>
    <xf numFmtId="4" fontId="0" fillId="3" borderId="0" xfId="0" applyNumberFormat="1" applyFill="1" applyAlignment="1">
      <alignment horizontal="right" vertical="center"/>
    </xf>
    <xf numFmtId="165" fontId="7" fillId="0" borderId="0" xfId="0" applyNumberFormat="1" applyFont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166" fontId="7" fillId="0" borderId="0" xfId="0" applyNumberFormat="1" applyFont="1" applyAlignment="1">
      <alignment horizontal="righ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Lines="9" dropStyle="combo" dx="22" fmlaLink="$D$93" fmlaRange="TAB!$B$13:$B$21" noThreeD="1" sel="9" val="0"/>
</file>

<file path=xl/ctrlProps/ctrlProp2.xml><?xml version="1.0" encoding="utf-8"?>
<formControlPr xmlns="http://schemas.microsoft.com/office/spreadsheetml/2009/9/main" objectType="Drop" dropLines="4" dropStyle="combo" dx="22" fmlaLink="$G$101" fmlaRange="TAB!$E$10:$E$13" noThreeD="1" sel="2" val="0"/>
</file>

<file path=xl/ctrlProps/ctrlProp3.xml><?xml version="1.0" encoding="utf-8"?>
<formControlPr xmlns="http://schemas.microsoft.com/office/spreadsheetml/2009/9/main" objectType="Drop" dropLines="4" dropStyle="combo" dx="22" fmlaLink="$H$23" fmlaRange="TAB!$H$10:$H$14" noThreeD="1" sel="3"/>
</file>

<file path=xl/ctrlProps/ctrlProp4.xml><?xml version="1.0" encoding="utf-8"?>
<formControlPr xmlns="http://schemas.microsoft.com/office/spreadsheetml/2009/9/main" objectType="Drop" dropStyle="combo" dx="22" fmlaLink="$I$83" fmlaRange="TAB!$B$3:$B$10" noThreeD="1" sel="8" val="0"/>
</file>

<file path=xl/ctrlProps/ctrlProp5.xml><?xml version="1.0" encoding="utf-8"?>
<formControlPr xmlns="http://schemas.microsoft.com/office/spreadsheetml/2009/9/main" objectType="Drop" dropLines="3" dropStyle="combo" dx="22" fmlaLink="$I$101" fmlaRange="TAB!$E$16:$E$18" noThreeD="1" sel="2" val="0"/>
</file>

<file path=xl/ctrlProps/ctrlProp6.xml><?xml version="1.0" encoding="utf-8"?>
<formControlPr xmlns="http://schemas.microsoft.com/office/spreadsheetml/2009/9/main" objectType="Drop" dropLines="4" dropStyle="combo" dx="22" fmlaLink="$I$104" fmlaRange="TAB!$K$3:$K$6" noThreeD="1" sel="4" val="0"/>
</file>

<file path=xl/ctrlProps/ctrlProp7.xml><?xml version="1.0" encoding="utf-8"?>
<formControlPr xmlns="http://schemas.microsoft.com/office/spreadsheetml/2009/9/main" objectType="Drop" dropLines="3" dropStyle="combo" dx="22" fmlaLink="$I$102" fmlaRange="TAB!$K$9:$K$10" noThreeD="1" sel="2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92</xdr:row>
          <xdr:rowOff>9525</xdr:rowOff>
        </xdr:from>
        <xdr:to>
          <xdr:col>5</xdr:col>
          <xdr:colOff>3467100</xdr:colOff>
          <xdr:row>92</xdr:row>
          <xdr:rowOff>219075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1028700</xdr:colOff>
          <xdr:row>100</xdr:row>
          <xdr:rowOff>9525</xdr:rowOff>
        </xdr:from>
        <xdr:to>
          <xdr:col>5</xdr:col>
          <xdr:colOff>3467100</xdr:colOff>
          <xdr:row>100</xdr:row>
          <xdr:rowOff>219075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7202A43E-7AA1-F13B-25B9-EFAC2EA530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533400</xdr:colOff>
          <xdr:row>22</xdr:row>
          <xdr:rowOff>9525</xdr:rowOff>
        </xdr:from>
        <xdr:to>
          <xdr:col>5</xdr:col>
          <xdr:colOff>3467100</xdr:colOff>
          <xdr:row>22</xdr:row>
          <xdr:rowOff>219075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20591A14-3543-8233-08B0-6FF83B5A59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82</xdr:row>
          <xdr:rowOff>9525</xdr:rowOff>
        </xdr:from>
        <xdr:to>
          <xdr:col>9</xdr:col>
          <xdr:colOff>0</xdr:colOff>
          <xdr:row>82</xdr:row>
          <xdr:rowOff>219075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9FE0BACC-E656-2F66-8AD0-018BBCA6BD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100</xdr:row>
          <xdr:rowOff>9525</xdr:rowOff>
        </xdr:from>
        <xdr:to>
          <xdr:col>9</xdr:col>
          <xdr:colOff>0</xdr:colOff>
          <xdr:row>100</xdr:row>
          <xdr:rowOff>219075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F274A5CC-EEFF-5FF6-C190-125FC512DC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103</xdr:row>
          <xdr:rowOff>9525</xdr:rowOff>
        </xdr:from>
        <xdr:to>
          <xdr:col>9</xdr:col>
          <xdr:colOff>0</xdr:colOff>
          <xdr:row>103</xdr:row>
          <xdr:rowOff>219075</xdr:rowOff>
        </xdr:to>
        <xdr:sp macro="" textlink="">
          <xdr:nvSpPr>
            <xdr:cNvPr id="2059" name="Drop Dow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C9FDA15D-087B-C4B4-A7D1-16FBDEC769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101</xdr:row>
          <xdr:rowOff>9525</xdr:rowOff>
        </xdr:from>
        <xdr:to>
          <xdr:col>9</xdr:col>
          <xdr:colOff>0</xdr:colOff>
          <xdr:row>101</xdr:row>
          <xdr:rowOff>219075</xdr:rowOff>
        </xdr:to>
        <xdr:sp macro="" textlink="">
          <xdr:nvSpPr>
            <xdr:cNvPr id="2061" name="Drop Dow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E1E35DB2-8901-B294-CBA9-44055E6861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595F5-9F60-4854-8FF6-E97F13808561}">
  <sheetPr codeName="Sheet3"/>
  <dimension ref="A2:B4"/>
  <sheetViews>
    <sheetView workbookViewId="0">
      <selection activeCell="C8" sqref="C8"/>
    </sheetView>
  </sheetViews>
  <sheetFormatPr defaultRowHeight="12.75" x14ac:dyDescent="0.2"/>
  <sheetData>
    <row r="2" spans="1:2" x14ac:dyDescent="0.2">
      <c r="A2" t="s">
        <v>0</v>
      </c>
    </row>
    <row r="3" spans="1:2" x14ac:dyDescent="0.2">
      <c r="A3" t="s">
        <v>1</v>
      </c>
      <c r="B3" t="s">
        <v>2</v>
      </c>
    </row>
    <row r="4" spans="1:2" x14ac:dyDescent="0.2">
      <c r="A4" t="s">
        <v>3</v>
      </c>
      <c r="B4" t="s"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D305BC-623D-4441-A525-AB8B87234C08}">
  <sheetPr codeName="Sheet1"/>
  <dimension ref="A2:K151"/>
  <sheetViews>
    <sheetView tabSelected="1" topLeftCell="A24" workbookViewId="0">
      <selection activeCell="C51" sqref="C51"/>
    </sheetView>
  </sheetViews>
  <sheetFormatPr defaultRowHeight="12.75" x14ac:dyDescent="0.2"/>
  <cols>
    <col min="1" max="5" width="3.83203125" customWidth="1"/>
    <col min="6" max="6" width="60.83203125" customWidth="1"/>
    <col min="7" max="7" width="11.83203125" customWidth="1"/>
    <col min="8" max="8" width="12.83203125" bestFit="1" customWidth="1"/>
    <col min="9" max="9" width="15.83203125" customWidth="1"/>
    <col min="10" max="10" width="35.83203125" customWidth="1"/>
  </cols>
  <sheetData>
    <row r="2" spans="1:10" x14ac:dyDescent="0.2">
      <c r="A2" s="5" t="s">
        <v>13</v>
      </c>
      <c r="B2" s="5"/>
      <c r="C2" s="5"/>
      <c r="D2" s="5"/>
      <c r="E2" s="5"/>
      <c r="F2" s="5"/>
      <c r="G2" s="1" t="s">
        <v>14</v>
      </c>
      <c r="H2" s="1" t="s">
        <v>15</v>
      </c>
      <c r="I2" s="1" t="s">
        <v>16</v>
      </c>
      <c r="J2" s="1" t="s">
        <v>17</v>
      </c>
    </row>
    <row r="4" spans="1:10" x14ac:dyDescent="0.2">
      <c r="A4" t="s">
        <v>30</v>
      </c>
      <c r="B4" t="s">
        <v>6</v>
      </c>
    </row>
    <row r="6" spans="1:10" x14ac:dyDescent="0.2">
      <c r="A6" t="s">
        <v>5</v>
      </c>
      <c r="B6" t="s">
        <v>11</v>
      </c>
      <c r="G6" s="13" t="s">
        <v>18</v>
      </c>
    </row>
    <row r="7" spans="1:10" x14ac:dyDescent="0.2">
      <c r="G7" s="13"/>
    </row>
    <row r="8" spans="1:10" ht="15.75" x14ac:dyDescent="0.2">
      <c r="A8" t="s">
        <v>7</v>
      </c>
      <c r="B8" t="s">
        <v>12</v>
      </c>
      <c r="G8" s="13" t="s">
        <v>19</v>
      </c>
    </row>
    <row r="10" spans="1:10" x14ac:dyDescent="0.2">
      <c r="A10" t="s">
        <v>34</v>
      </c>
      <c r="B10" t="s">
        <v>20</v>
      </c>
    </row>
    <row r="12" spans="1:10" x14ac:dyDescent="0.2">
      <c r="A12" t="s">
        <v>9</v>
      </c>
      <c r="B12" t="s">
        <v>21</v>
      </c>
    </row>
    <row r="14" spans="1:10" ht="15.75" x14ac:dyDescent="0.3">
      <c r="A14" t="s">
        <v>35</v>
      </c>
      <c r="B14" t="s">
        <v>27</v>
      </c>
      <c r="G14" s="13" t="s">
        <v>28</v>
      </c>
    </row>
    <row r="15" spans="1:10" ht="15.75" x14ac:dyDescent="0.2">
      <c r="B15" s="6" t="s">
        <v>29</v>
      </c>
      <c r="C15" t="s">
        <v>41</v>
      </c>
      <c r="G15" s="13" t="s">
        <v>36</v>
      </c>
    </row>
    <row r="16" spans="1:10" ht="15.75" x14ac:dyDescent="0.2">
      <c r="B16" s="6"/>
      <c r="C16" s="6" t="s">
        <v>53</v>
      </c>
      <c r="D16" t="s">
        <v>77</v>
      </c>
      <c r="G16" s="13" t="s">
        <v>61</v>
      </c>
      <c r="H16" s="13" t="s">
        <v>64</v>
      </c>
      <c r="I16" s="17">
        <f>I26*I75*I92*I95/1000000</f>
        <v>0</v>
      </c>
    </row>
    <row r="17" spans="2:10" ht="15.75" x14ac:dyDescent="0.2">
      <c r="B17" s="6"/>
      <c r="C17" s="6" t="s">
        <v>53</v>
      </c>
      <c r="D17" t="s">
        <v>78</v>
      </c>
      <c r="G17" s="13" t="s">
        <v>62</v>
      </c>
      <c r="H17" s="13" t="s">
        <v>64</v>
      </c>
      <c r="I17" s="17">
        <f>I26*I81/1000000</f>
        <v>0.22110516250000001</v>
      </c>
    </row>
    <row r="18" spans="2:10" ht="15.75" x14ac:dyDescent="0.2">
      <c r="B18" s="6"/>
      <c r="C18" s="6" t="s">
        <v>53</v>
      </c>
      <c r="D18" t="s">
        <v>80</v>
      </c>
      <c r="G18" s="13" t="s">
        <v>63</v>
      </c>
      <c r="H18" s="13" t="s">
        <v>64</v>
      </c>
      <c r="I18" s="17">
        <f>I26*I19*I21*I23*I95/1000000</f>
        <v>1E-3</v>
      </c>
    </row>
    <row r="19" spans="2:10" ht="15.75" x14ac:dyDescent="0.2">
      <c r="D19" s="6" t="s">
        <v>68</v>
      </c>
      <c r="E19" t="s">
        <v>105</v>
      </c>
      <c r="G19" s="13" t="s">
        <v>106</v>
      </c>
      <c r="H19" t="s">
        <v>87</v>
      </c>
      <c r="I19" s="15">
        <f>40*I20</f>
        <v>40000</v>
      </c>
    </row>
    <row r="20" spans="2:10" ht="15.75" x14ac:dyDescent="0.2">
      <c r="B20" s="6"/>
      <c r="C20" s="6"/>
      <c r="D20" s="6" t="s">
        <v>68</v>
      </c>
      <c r="E20" t="s">
        <v>107</v>
      </c>
      <c r="G20" s="13" t="s">
        <v>109</v>
      </c>
      <c r="H20" s="13" t="s">
        <v>108</v>
      </c>
      <c r="I20" s="18">
        <v>1000</v>
      </c>
      <c r="J20" s="14" t="str">
        <f>IF(OR(I20=0,I20&gt;1000)," Adote LL = 1000","")</f>
        <v/>
      </c>
    </row>
    <row r="21" spans="2:10" ht="15.75" x14ac:dyDescent="0.2">
      <c r="B21" s="6"/>
      <c r="C21" s="6"/>
      <c r="D21" s="6" t="s">
        <v>68</v>
      </c>
      <c r="E21" t="s">
        <v>110</v>
      </c>
      <c r="G21" s="13" t="s">
        <v>111</v>
      </c>
      <c r="H21" s="13"/>
      <c r="I21" s="15">
        <f xml:space="preserve">
IF(G101=2,1,
IF(AND(G101=3,I86=400),0.5,
IF(AND(G101=4,I86=400),0.01,
0)))</f>
        <v>1</v>
      </c>
    </row>
    <row r="22" spans="2:10" ht="18" customHeight="1" x14ac:dyDescent="0.2">
      <c r="B22" s="6"/>
      <c r="C22" s="6" t="s">
        <v>53</v>
      </c>
      <c r="D22" t="s">
        <v>118</v>
      </c>
      <c r="E22" s="13"/>
      <c r="G22" s="13"/>
      <c r="H22" s="13"/>
      <c r="J22" s="14"/>
    </row>
    <row r="23" spans="2:10" ht="18" customHeight="1" x14ac:dyDescent="0.2">
      <c r="B23" s="6"/>
      <c r="C23" s="6"/>
      <c r="D23" s="6" t="s">
        <v>68</v>
      </c>
      <c r="E23" s="13" t="s">
        <v>125</v>
      </c>
      <c r="G23" s="13" t="s">
        <v>119</v>
      </c>
      <c r="H23" s="19">
        <v>3</v>
      </c>
      <c r="I23" s="15">
        <f xml:space="preserve">
IF(H23=2,1,
IF(H23=3,0.5,
IF(H23=4,0.1,
IF(H23=5,0.01,
0))))</f>
        <v>0.5</v>
      </c>
      <c r="J23" s="14"/>
    </row>
    <row r="24" spans="2:10" ht="15.75" x14ac:dyDescent="0.2">
      <c r="B24" s="6"/>
      <c r="C24" s="6" t="s">
        <v>53</v>
      </c>
      <c r="D24" t="s">
        <v>79</v>
      </c>
      <c r="G24" s="13" t="s">
        <v>66</v>
      </c>
      <c r="H24" s="13" t="s">
        <v>64</v>
      </c>
      <c r="I24" s="17">
        <f>I26*I19*I21*I23*I95/1000000</f>
        <v>1E-3</v>
      </c>
    </row>
    <row r="25" spans="2:10" x14ac:dyDescent="0.2">
      <c r="B25" s="6"/>
      <c r="C25" s="6"/>
      <c r="G25" s="13"/>
      <c r="H25" s="13"/>
      <c r="I25" s="17"/>
    </row>
    <row r="26" spans="2:10" ht="15.75" x14ac:dyDescent="0.2">
      <c r="B26" s="6" t="s">
        <v>29</v>
      </c>
      <c r="C26" t="s">
        <v>59</v>
      </c>
      <c r="G26" s="13" t="s">
        <v>85</v>
      </c>
      <c r="H26" s="13" t="s">
        <v>86</v>
      </c>
      <c r="I26" s="10">
        <v>0.25</v>
      </c>
    </row>
    <row r="27" spans="2:10" x14ac:dyDescent="0.2">
      <c r="B27" s="6"/>
      <c r="G27" s="13"/>
      <c r="H27" s="13"/>
      <c r="I27" s="10"/>
    </row>
    <row r="28" spans="2:10" ht="15.75" x14ac:dyDescent="0.2">
      <c r="B28" s="6" t="s">
        <v>29</v>
      </c>
      <c r="C28" t="s">
        <v>40</v>
      </c>
      <c r="G28" s="13" t="s">
        <v>37</v>
      </c>
    </row>
    <row r="29" spans="2:10" ht="15.75" x14ac:dyDescent="0.2">
      <c r="B29" s="6"/>
      <c r="C29" s="6" t="s">
        <v>53</v>
      </c>
      <c r="D29" t="s">
        <v>143</v>
      </c>
      <c r="G29" s="13" t="s">
        <v>128</v>
      </c>
      <c r="I29" s="21">
        <f>I30*I37</f>
        <v>0.2</v>
      </c>
    </row>
    <row r="30" spans="2:10" ht="15.75" x14ac:dyDescent="0.2">
      <c r="B30" s="6"/>
      <c r="D30" s="6" t="s">
        <v>68</v>
      </c>
      <c r="E30" t="s">
        <v>129</v>
      </c>
      <c r="G30" s="13" t="s">
        <v>136</v>
      </c>
      <c r="I30" s="21">
        <f>G31*G32*G33*G34*G35*G36</f>
        <v>1</v>
      </c>
      <c r="J30" s="14" t="str">
        <f>IF(AND(I26&gt;0,I31="",I32="",I33="",I34="",I35="",I36="")," Marque uma da altenativa abaixo","")</f>
        <v/>
      </c>
    </row>
    <row r="31" spans="2:10" x14ac:dyDescent="0.2">
      <c r="B31" s="6"/>
      <c r="D31" s="7"/>
      <c r="E31" s="7" t="s">
        <v>130</v>
      </c>
      <c r="F31" s="7"/>
      <c r="G31" s="20">
        <f>IF(I31="x",1,1)</f>
        <v>1</v>
      </c>
      <c r="H31" s="13" t="s">
        <v>70</v>
      </c>
      <c r="I31" s="11" t="s">
        <v>75</v>
      </c>
    </row>
    <row r="32" spans="2:10" x14ac:dyDescent="0.2">
      <c r="B32" s="6"/>
      <c r="D32" s="7"/>
      <c r="E32" s="7" t="s">
        <v>131</v>
      </c>
      <c r="F32" s="7"/>
      <c r="G32" s="20">
        <f>IF(I32="x",0.1,1)</f>
        <v>1</v>
      </c>
      <c r="H32" s="13" t="s">
        <v>70</v>
      </c>
      <c r="I32" s="11"/>
      <c r="J32" s="14" t="str">
        <f>IF(AND(I31="x",I32="x")," Ñ Permitido","")</f>
        <v/>
      </c>
    </row>
    <row r="33" spans="2:10" x14ac:dyDescent="0.2">
      <c r="B33" s="6"/>
      <c r="D33" s="7"/>
      <c r="E33" s="7" t="s">
        <v>132</v>
      </c>
      <c r="F33" s="7"/>
      <c r="G33" s="20">
        <f>IF(I33="x",0.01,1)</f>
        <v>1</v>
      </c>
      <c r="H33" s="13" t="s">
        <v>70</v>
      </c>
      <c r="I33" s="11"/>
      <c r="J33" s="14" t="str">
        <f>IF(AND(I31="x",I33="x")," Ñ Permitido","")</f>
        <v/>
      </c>
    </row>
    <row r="34" spans="2:10" x14ac:dyDescent="0.2">
      <c r="B34" s="6"/>
      <c r="D34" s="7"/>
      <c r="E34" s="7" t="s">
        <v>133</v>
      </c>
      <c r="F34" s="7"/>
      <c r="G34" s="20">
        <f>IF(I34="x",0.01,1)</f>
        <v>1</v>
      </c>
      <c r="H34" s="13" t="s">
        <v>70</v>
      </c>
      <c r="I34" s="11"/>
      <c r="J34" s="14" t="str">
        <f>IF(AND(I31="x",I34="x")," Ñ Permitido","")</f>
        <v/>
      </c>
    </row>
    <row r="35" spans="2:10" x14ac:dyDescent="0.2">
      <c r="B35" s="6"/>
      <c r="D35" s="7"/>
      <c r="E35" s="7" t="s">
        <v>134</v>
      </c>
      <c r="F35" s="7"/>
      <c r="G35" s="20">
        <f>IF(I35="x",0,1)</f>
        <v>1</v>
      </c>
      <c r="H35" s="13" t="s">
        <v>70</v>
      </c>
      <c r="I35" s="11"/>
      <c r="J35" s="14" t="str">
        <f>IF(AND(I31="x",I35="x")," Ñ Permitido","")</f>
        <v/>
      </c>
    </row>
    <row r="36" spans="2:10" x14ac:dyDescent="0.2">
      <c r="B36" s="6"/>
      <c r="D36" s="7"/>
      <c r="E36" s="7" t="s">
        <v>135</v>
      </c>
      <c r="F36" s="7"/>
      <c r="G36" s="20">
        <f>IF(I36="x",0,1)</f>
        <v>1</v>
      </c>
      <c r="H36" s="13" t="s">
        <v>70</v>
      </c>
      <c r="I36" s="11"/>
      <c r="J36" s="14" t="str">
        <f>IF(AND(I31="x",I36="x")," Ñ Permitido","")</f>
        <v/>
      </c>
    </row>
    <row r="37" spans="2:10" ht="15.75" x14ac:dyDescent="0.2">
      <c r="B37" s="6"/>
      <c r="C37" s="6" t="s">
        <v>53</v>
      </c>
      <c r="D37" t="s">
        <v>142</v>
      </c>
      <c r="G37" s="13" t="s">
        <v>137</v>
      </c>
      <c r="I37" s="21">
        <f xml:space="preserve">
IF(I83=2,1,
IF(I83=3,0.02,
IF(I83=4,0.01,
IF(I83=5,0.001,
IF(I83=6,0.05,
IF(I83=7,0.1,
IF(I83=8,0.2,
0)))))))</f>
        <v>0.2</v>
      </c>
    </row>
    <row r="38" spans="2:10" ht="15.75" x14ac:dyDescent="0.2">
      <c r="B38" s="6"/>
      <c r="C38" s="6" t="s">
        <v>53</v>
      </c>
      <c r="D38" t="s">
        <v>144</v>
      </c>
      <c r="G38" s="13" t="s">
        <v>169</v>
      </c>
      <c r="I38" s="21">
        <f>I39*I40</f>
        <v>0</v>
      </c>
    </row>
    <row r="39" spans="2:10" ht="15.75" x14ac:dyDescent="0.2">
      <c r="B39" s="6"/>
      <c r="D39" s="6" t="s">
        <v>68</v>
      </c>
      <c r="E39" t="s">
        <v>147</v>
      </c>
      <c r="G39" s="13" t="s">
        <v>146</v>
      </c>
      <c r="I39" s="21">
        <f xml:space="preserve">
IF(I83=2,1,
IF(I83=3,0.01,
IF(I83=4,0.01,
IF(I83=5,0.01,
IF(I83=6,0.02,
IF(I83=7,0.05,
IF(I83=8,0.05,
0)))))))</f>
        <v>0.05</v>
      </c>
    </row>
    <row r="40" spans="2:10" ht="15.75" x14ac:dyDescent="0.2">
      <c r="B40" s="6"/>
      <c r="D40" s="6" t="s">
        <v>68</v>
      </c>
      <c r="E40" t="s">
        <v>148</v>
      </c>
      <c r="G40" s="13" t="s">
        <v>150</v>
      </c>
      <c r="I40" s="21">
        <f xml:space="preserve">
IF(AND(G101=2,I101=3,I104=4),1,
IF(AND(G101=2,I101=2,I104=3),1,
IF(AND(G101=2,I101=2,I104=2),1,
IF(AND(OR(G101=3,G101=4),I101=3,I104=1),1,
IF(AND(OR(G101=3,G101=4),I101=3,I104=4),1,
IF(AND(OR(G101=3,G101=4),I101=2,I104=3),1,
IF(AND(OR(G101=3,G101=4),I101=2,I104=2),1,
0)))))))</f>
        <v>0</v>
      </c>
    </row>
    <row r="41" spans="2:10" ht="15.75" x14ac:dyDescent="0.2">
      <c r="B41" s="6"/>
      <c r="D41" s="6" t="s">
        <v>68</v>
      </c>
      <c r="E41" t="s">
        <v>148</v>
      </c>
      <c r="G41" s="13" t="s">
        <v>149</v>
      </c>
      <c r="I41" s="21">
        <f xml:space="preserve">
IF(AND(G101=2,I101=3,I104=4),1,
IF(AND(G101=2,I101=2,I104=3),0.1,
IF(AND(G101=2,I101=2,I104=2),0,
IF(AND(OR(G101=3,G101=4),I101=3,I104=1),0.2,
IF(AND(OR(G101=3,G101=4),I101=3,I104=4),1,
IF(AND(OR(G101=3,G101=4),I101=2,I104=3),0.3,
IF(AND(OR(G101=3,G101=4),I101=2,I104=2),0,
0)))))))</f>
        <v>0</v>
      </c>
    </row>
    <row r="42" spans="2:10" ht="15.75" x14ac:dyDescent="0.2">
      <c r="B42" s="6"/>
      <c r="C42" s="6" t="s">
        <v>53</v>
      </c>
      <c r="D42" t="s">
        <v>170</v>
      </c>
      <c r="G42" s="13" t="s">
        <v>171</v>
      </c>
    </row>
    <row r="43" spans="2:10" ht="15.75" x14ac:dyDescent="0.2">
      <c r="B43" s="6"/>
      <c r="C43" s="6"/>
      <c r="D43" s="6" t="s">
        <v>68</v>
      </c>
      <c r="E43" t="s">
        <v>176</v>
      </c>
      <c r="G43" s="13" t="s">
        <v>172</v>
      </c>
    </row>
    <row r="44" spans="2:10" x14ac:dyDescent="0.2">
      <c r="B44" s="6"/>
      <c r="D44" s="6"/>
      <c r="E44" t="s">
        <v>173</v>
      </c>
      <c r="G44" s="13"/>
      <c r="I44" s="10"/>
    </row>
    <row r="45" spans="2:10" x14ac:dyDescent="0.2">
      <c r="B45" s="6"/>
      <c r="D45" s="6"/>
      <c r="E45" t="s">
        <v>174</v>
      </c>
      <c r="G45" s="13"/>
      <c r="I45" s="10"/>
    </row>
    <row r="46" spans="2:10" x14ac:dyDescent="0.2">
      <c r="B46" s="6"/>
      <c r="D46" s="6"/>
      <c r="E46" t="s">
        <v>175</v>
      </c>
      <c r="G46" s="13"/>
      <c r="I46" s="10"/>
    </row>
    <row r="47" spans="2:10" ht="15.75" x14ac:dyDescent="0.2">
      <c r="B47" s="6"/>
      <c r="C47" s="6" t="s">
        <v>53</v>
      </c>
      <c r="D47" t="s">
        <v>177</v>
      </c>
      <c r="G47" s="13" t="s">
        <v>178</v>
      </c>
    </row>
    <row r="48" spans="2:10" ht="15.75" x14ac:dyDescent="0.2">
      <c r="B48" s="6"/>
      <c r="G48" s="13" t="s">
        <v>179</v>
      </c>
    </row>
    <row r="49" spans="2:7" ht="15.75" x14ac:dyDescent="0.2">
      <c r="B49" s="6"/>
      <c r="G49" s="13" t="s">
        <v>180</v>
      </c>
    </row>
    <row r="50" spans="2:7" ht="15.75" x14ac:dyDescent="0.2">
      <c r="B50" s="6"/>
      <c r="G50" s="13" t="s">
        <v>181</v>
      </c>
    </row>
    <row r="51" spans="2:7" x14ac:dyDescent="0.2">
      <c r="B51" s="6"/>
      <c r="G51" s="13"/>
    </row>
    <row r="52" spans="2:7" x14ac:dyDescent="0.2">
      <c r="B52" s="6"/>
      <c r="G52" s="13"/>
    </row>
    <row r="53" spans="2:7" x14ac:dyDescent="0.2">
      <c r="B53" s="6"/>
      <c r="G53" s="13"/>
    </row>
    <row r="54" spans="2:7" x14ac:dyDescent="0.2">
      <c r="B54" s="6"/>
      <c r="G54" s="13"/>
    </row>
    <row r="55" spans="2:7" x14ac:dyDescent="0.2">
      <c r="B55" s="6"/>
      <c r="G55" s="13"/>
    </row>
    <row r="56" spans="2:7" x14ac:dyDescent="0.2">
      <c r="B56" s="6"/>
      <c r="G56" s="13"/>
    </row>
    <row r="57" spans="2:7" x14ac:dyDescent="0.2">
      <c r="B57" s="6"/>
      <c r="G57" s="13"/>
    </row>
    <row r="58" spans="2:7" x14ac:dyDescent="0.2">
      <c r="B58" s="6"/>
      <c r="G58" s="13"/>
    </row>
    <row r="59" spans="2:7" x14ac:dyDescent="0.2">
      <c r="B59" s="6"/>
      <c r="G59" s="13"/>
    </row>
    <row r="60" spans="2:7" x14ac:dyDescent="0.2">
      <c r="B60" s="6"/>
      <c r="G60" s="13"/>
    </row>
    <row r="61" spans="2:7" x14ac:dyDescent="0.2">
      <c r="B61" s="6"/>
      <c r="G61" s="13"/>
    </row>
    <row r="62" spans="2:7" x14ac:dyDescent="0.2">
      <c r="B62" s="6"/>
      <c r="G62" s="13"/>
    </row>
    <row r="63" spans="2:7" x14ac:dyDescent="0.2">
      <c r="B63" s="6"/>
      <c r="G63" s="13"/>
    </row>
    <row r="64" spans="2:7" x14ac:dyDescent="0.2">
      <c r="B64" s="6"/>
      <c r="G64" s="13"/>
    </row>
    <row r="65" spans="2:10" x14ac:dyDescent="0.2">
      <c r="B65" s="6"/>
      <c r="G65" s="13"/>
    </row>
    <row r="66" spans="2:10" x14ac:dyDescent="0.2">
      <c r="B66" s="6"/>
      <c r="G66" s="13"/>
    </row>
    <row r="67" spans="2:10" x14ac:dyDescent="0.2">
      <c r="B67" s="6"/>
      <c r="G67" s="13"/>
    </row>
    <row r="68" spans="2:10" x14ac:dyDescent="0.2">
      <c r="B68" s="6"/>
      <c r="G68" s="13"/>
    </row>
    <row r="69" spans="2:10" x14ac:dyDescent="0.2">
      <c r="B69" s="6"/>
      <c r="G69" s="13"/>
    </row>
    <row r="70" spans="2:10" ht="15.75" x14ac:dyDescent="0.2">
      <c r="B70" s="6" t="s">
        <v>29</v>
      </c>
      <c r="C70" t="s">
        <v>38</v>
      </c>
      <c r="G70" s="13" t="s">
        <v>39</v>
      </c>
    </row>
    <row r="72" spans="2:10" x14ac:dyDescent="0.2">
      <c r="B72" s="6" t="s">
        <v>29</v>
      </c>
      <c r="C72" t="s">
        <v>52</v>
      </c>
    </row>
    <row r="73" spans="2:10" x14ac:dyDescent="0.2">
      <c r="C73" s="6" t="s">
        <v>53</v>
      </c>
      <c r="D73" t="s">
        <v>54</v>
      </c>
    </row>
    <row r="74" spans="2:10" x14ac:dyDescent="0.2">
      <c r="C74" s="6" t="s">
        <v>53</v>
      </c>
      <c r="D74" t="s">
        <v>55</v>
      </c>
    </row>
    <row r="75" spans="2:10" ht="15.75" x14ac:dyDescent="0.2">
      <c r="C75" s="6" t="s">
        <v>53</v>
      </c>
      <c r="D75" t="s">
        <v>76</v>
      </c>
      <c r="G75" s="13" t="s">
        <v>67</v>
      </c>
      <c r="H75" t="s">
        <v>87</v>
      </c>
      <c r="I75" s="16"/>
      <c r="J75" s="14" t="str">
        <f>IF(AND(I76="x",I77="x",I78="x",I79="x",I80="x")," AD é área parcial"," AD é área total")</f>
        <v xml:space="preserve"> AD é área total</v>
      </c>
    </row>
    <row r="76" spans="2:10" x14ac:dyDescent="0.2">
      <c r="C76" s="6"/>
      <c r="D76" s="6" t="s">
        <v>68</v>
      </c>
      <c r="E76" t="s">
        <v>69</v>
      </c>
      <c r="H76" s="13" t="s">
        <v>70</v>
      </c>
      <c r="I76" s="11" t="s">
        <v>75</v>
      </c>
      <c r="J76" s="13"/>
    </row>
    <row r="77" spans="2:10" x14ac:dyDescent="0.2">
      <c r="C77" s="6"/>
      <c r="D77" s="6" t="s">
        <v>68</v>
      </c>
      <c r="E77" t="s">
        <v>71</v>
      </c>
      <c r="H77" s="13" t="s">
        <v>70</v>
      </c>
      <c r="I77" s="11" t="s">
        <v>75</v>
      </c>
      <c r="J77" s="14" t="str">
        <f>IF(AND(I77="x",I76="")," Ñ Permitido","")</f>
        <v/>
      </c>
    </row>
    <row r="78" spans="2:10" x14ac:dyDescent="0.2">
      <c r="C78" s="6"/>
      <c r="D78" s="6" t="s">
        <v>68</v>
      </c>
      <c r="E78" t="s">
        <v>72</v>
      </c>
      <c r="H78" s="13" t="s">
        <v>70</v>
      </c>
      <c r="I78" s="11"/>
      <c r="J78" s="14" t="str">
        <f>IF(AND(I78="x",I76="")," Ñ Permitido","")</f>
        <v/>
      </c>
    </row>
    <row r="79" spans="2:10" x14ac:dyDescent="0.2">
      <c r="C79" s="6"/>
      <c r="D79" s="6" t="s">
        <v>68</v>
      </c>
      <c r="E79" t="s">
        <v>73</v>
      </c>
      <c r="H79" s="13" t="s">
        <v>70</v>
      </c>
      <c r="I79" s="11"/>
      <c r="J79" s="14" t="str">
        <f>IF(AND(I79="x",I76="")," Ñ Permitido","")</f>
        <v/>
      </c>
    </row>
    <row r="80" spans="2:10" x14ac:dyDescent="0.2">
      <c r="C80" s="6"/>
      <c r="D80" s="6" t="s">
        <v>68</v>
      </c>
      <c r="E80" t="s">
        <v>74</v>
      </c>
      <c r="H80" s="13" t="s">
        <v>70</v>
      </c>
      <c r="I80" s="11"/>
      <c r="J80" s="14" t="str">
        <f>IF(AND(I80="x",I76="")," Ñ Permitido","")</f>
        <v/>
      </c>
    </row>
    <row r="81" spans="2:11" ht="15.75" x14ac:dyDescent="0.2">
      <c r="C81" s="6" t="s">
        <v>53</v>
      </c>
      <c r="D81" t="s">
        <v>103</v>
      </c>
      <c r="G81" s="13" t="s">
        <v>102</v>
      </c>
      <c r="H81" t="s">
        <v>87</v>
      </c>
      <c r="I81" s="16">
        <v>884420.65</v>
      </c>
    </row>
    <row r="82" spans="2:11" ht="15.75" x14ac:dyDescent="0.2">
      <c r="C82" s="6" t="s">
        <v>53</v>
      </c>
      <c r="D82" t="s">
        <v>126</v>
      </c>
      <c r="G82" s="13" t="s">
        <v>127</v>
      </c>
      <c r="H82" t="s">
        <v>87</v>
      </c>
      <c r="I82" s="15">
        <f>4000*I20</f>
        <v>4000000</v>
      </c>
    </row>
    <row r="83" spans="2:11" ht="18" customHeight="1" x14ac:dyDescent="0.2">
      <c r="C83" s="6" t="s">
        <v>53</v>
      </c>
      <c r="D83" t="s">
        <v>138</v>
      </c>
      <c r="G83" s="13" t="s">
        <v>145</v>
      </c>
      <c r="I83">
        <v>8</v>
      </c>
      <c r="K83">
        <f>I83</f>
        <v>8</v>
      </c>
    </row>
    <row r="84" spans="2:11" x14ac:dyDescent="0.2">
      <c r="C84" s="6"/>
      <c r="D84" s="6"/>
    </row>
    <row r="85" spans="2:11" x14ac:dyDescent="0.2">
      <c r="B85" s="6" t="s">
        <v>29</v>
      </c>
      <c r="C85" s="9" t="s">
        <v>160</v>
      </c>
      <c r="D85" s="6"/>
    </row>
    <row r="86" spans="2:11" x14ac:dyDescent="0.2">
      <c r="B86" s="6"/>
      <c r="C86" s="6" t="s">
        <v>53</v>
      </c>
      <c r="D86" s="13" t="s">
        <v>161</v>
      </c>
      <c r="G86" s="13" t="s">
        <v>116</v>
      </c>
      <c r="H86" s="13" t="s">
        <v>117</v>
      </c>
      <c r="I86" s="16">
        <v>400</v>
      </c>
      <c r="J86" s="14" t="str">
        <f>IF(AND(I86=0,OR(G101=3,G101=4))," Adotar ρ = 400","")</f>
        <v/>
      </c>
    </row>
    <row r="87" spans="2:11" x14ac:dyDescent="0.2">
      <c r="C87" s="6"/>
    </row>
    <row r="88" spans="2:11" x14ac:dyDescent="0.2">
      <c r="C88" s="6" t="s">
        <v>53</v>
      </c>
      <c r="D88" t="s">
        <v>56</v>
      </c>
    </row>
    <row r="89" spans="2:11" x14ac:dyDescent="0.2">
      <c r="C89" s="6" t="s">
        <v>53</v>
      </c>
      <c r="D89" t="s">
        <v>57</v>
      </c>
      <c r="I89">
        <v>1</v>
      </c>
    </row>
    <row r="90" spans="2:11" x14ac:dyDescent="0.2">
      <c r="C90" s="6" t="s">
        <v>53</v>
      </c>
      <c r="D90" t="s">
        <v>58</v>
      </c>
      <c r="I90">
        <v>2</v>
      </c>
    </row>
    <row r="92" spans="2:11" ht="15.75" x14ac:dyDescent="0.2">
      <c r="B92" s="6" t="s">
        <v>29</v>
      </c>
      <c r="C92" t="s">
        <v>101</v>
      </c>
      <c r="G92" s="13" t="s">
        <v>97</v>
      </c>
      <c r="I92" s="15">
        <v>1</v>
      </c>
    </row>
    <row r="93" spans="2:11" ht="18" customHeight="1" x14ac:dyDescent="0.2">
      <c r="C93" s="6" t="s">
        <v>53</v>
      </c>
      <c r="D93">
        <v>9</v>
      </c>
      <c r="F93">
        <v>6</v>
      </c>
      <c r="K93">
        <f>D93</f>
        <v>9</v>
      </c>
    </row>
    <row r="94" spans="2:11" ht="18" customHeight="1" x14ac:dyDescent="0.2">
      <c r="C94" s="6"/>
    </row>
    <row r="95" spans="2:11" ht="15.75" x14ac:dyDescent="0.2">
      <c r="B95" s="6" t="s">
        <v>29</v>
      </c>
      <c r="C95" t="s">
        <v>100</v>
      </c>
      <c r="G95" s="13" t="s">
        <v>99</v>
      </c>
      <c r="I95" s="15">
        <f>IF(I96="x",0.2,1)</f>
        <v>0.2</v>
      </c>
    </row>
    <row r="96" spans="2:11" x14ac:dyDescent="0.2">
      <c r="C96" s="6" t="s">
        <v>53</v>
      </c>
      <c r="D96" t="s">
        <v>98</v>
      </c>
      <c r="H96" s="13" t="s">
        <v>70</v>
      </c>
      <c r="I96" s="11" t="s">
        <v>75</v>
      </c>
    </row>
    <row r="97" spans="2:11" x14ac:dyDescent="0.2">
      <c r="C97" s="6"/>
    </row>
    <row r="98" spans="2:11" x14ac:dyDescent="0.2">
      <c r="C98" s="6"/>
    </row>
    <row r="99" spans="2:11" x14ac:dyDescent="0.2">
      <c r="B99" s="6" t="s">
        <v>29</v>
      </c>
      <c r="C99" t="s">
        <v>151</v>
      </c>
    </row>
    <row r="100" spans="2:11" x14ac:dyDescent="0.2">
      <c r="C100" s="6" t="s">
        <v>53</v>
      </c>
      <c r="D100" s="23" t="s">
        <v>152</v>
      </c>
      <c r="E100" s="23"/>
      <c r="F100" s="23"/>
      <c r="G100">
        <v>2</v>
      </c>
    </row>
    <row r="101" spans="2:11" ht="18" customHeight="1" x14ac:dyDescent="0.2">
      <c r="B101" s="6"/>
      <c r="C101" s="6"/>
      <c r="D101" s="6" t="s">
        <v>68</v>
      </c>
      <c r="E101" s="22" t="s">
        <v>158</v>
      </c>
      <c r="F101" s="22"/>
      <c r="G101" s="19">
        <v>2</v>
      </c>
      <c r="H101" s="19"/>
      <c r="I101">
        <v>2</v>
      </c>
      <c r="J101" s="14" t="str">
        <f>IF(AND(G101&gt;1,H101=1)," Escolha a blindagem","")</f>
        <v/>
      </c>
      <c r="K101">
        <f>I101</f>
        <v>2</v>
      </c>
    </row>
    <row r="102" spans="2:11" ht="18" customHeight="1" x14ac:dyDescent="0.2">
      <c r="B102" s="6"/>
      <c r="C102" s="6"/>
      <c r="D102" s="6" t="s">
        <v>68</v>
      </c>
      <c r="E102" s="13" t="s">
        <v>167</v>
      </c>
      <c r="F102" s="13"/>
      <c r="G102" s="19">
        <v>2</v>
      </c>
      <c r="I102">
        <v>2</v>
      </c>
      <c r="J102" s="14"/>
      <c r="K102">
        <f>I102</f>
        <v>2</v>
      </c>
    </row>
    <row r="103" spans="2:11" x14ac:dyDescent="0.2">
      <c r="B103" s="6"/>
      <c r="C103" s="6" t="s">
        <v>53</v>
      </c>
      <c r="D103" t="s">
        <v>157</v>
      </c>
      <c r="E103" s="13"/>
      <c r="F103" s="13"/>
      <c r="G103" s="19"/>
      <c r="I103">
        <v>1</v>
      </c>
      <c r="J103" s="14"/>
    </row>
    <row r="104" spans="2:11" ht="18" customHeight="1" x14ac:dyDescent="0.2">
      <c r="B104" s="6"/>
      <c r="C104" s="6"/>
      <c r="D104" s="6" t="s">
        <v>68</v>
      </c>
      <c r="E104" s="13" t="s">
        <v>159</v>
      </c>
      <c r="F104" s="13"/>
      <c r="G104" s="19"/>
      <c r="I104">
        <v>4</v>
      </c>
      <c r="J104" s="14" t="str">
        <f xml:space="preserve">
IF(AND(G101=2,I101=3,I104&lt;&gt;4)," Ñ Permitido",
IF(AND(G101=2,I101=2,OR(I104=1,I104=4))," Ñ Permitido",
IF(AND(OR(G101=3,G101=4),I101=3,OR(I104=2,I104=3))," Ñ Permitido",
IF(AND(OR(G101=3,G101=4),I101=2,OR(I104=1,I104=4))," Ñ Permitido",
""))))</f>
        <v xml:space="preserve"> Ñ Permitido</v>
      </c>
      <c r="K104">
        <f>I104</f>
        <v>4</v>
      </c>
    </row>
    <row r="105" spans="2:11" x14ac:dyDescent="0.2">
      <c r="B105" s="6"/>
      <c r="C105" s="6"/>
      <c r="E105" s="13"/>
      <c r="F105" s="13"/>
      <c r="G105" s="19"/>
      <c r="H105" s="19"/>
      <c r="J105" s="14"/>
    </row>
    <row r="106" spans="2:11" x14ac:dyDescent="0.2">
      <c r="B106" s="6"/>
      <c r="C106" s="6"/>
      <c r="E106" s="13"/>
      <c r="F106" s="13"/>
      <c r="G106" s="19"/>
      <c r="H106" s="19"/>
      <c r="J106" s="14"/>
    </row>
    <row r="108" spans="2:11" x14ac:dyDescent="0.2">
      <c r="C108" s="6"/>
    </row>
    <row r="109" spans="2:11" x14ac:dyDescent="0.2">
      <c r="C109" s="6"/>
    </row>
    <row r="111" spans="2:11" x14ac:dyDescent="0.2">
      <c r="C111" s="6" t="s">
        <v>53</v>
      </c>
      <c r="D111" t="s">
        <v>153</v>
      </c>
    </row>
    <row r="129" spans="1:4" x14ac:dyDescent="0.2">
      <c r="B129" s="6" t="s">
        <v>29</v>
      </c>
      <c r="C129" t="s">
        <v>60</v>
      </c>
    </row>
    <row r="130" spans="1:4" x14ac:dyDescent="0.2">
      <c r="C130" s="6" t="s">
        <v>53</v>
      </c>
      <c r="D130" t="s">
        <v>51</v>
      </c>
    </row>
    <row r="131" spans="1:4" x14ac:dyDescent="0.2">
      <c r="C131" s="6" t="s">
        <v>53</v>
      </c>
      <c r="D131" t="s">
        <v>48</v>
      </c>
    </row>
    <row r="132" spans="1:4" x14ac:dyDescent="0.2">
      <c r="C132" s="6" t="s">
        <v>53</v>
      </c>
      <c r="D132" t="s">
        <v>49</v>
      </c>
    </row>
    <row r="133" spans="1:4" x14ac:dyDescent="0.2">
      <c r="C133" s="6" t="s">
        <v>53</v>
      </c>
      <c r="D133" t="s">
        <v>50</v>
      </c>
    </row>
    <row r="134" spans="1:4" x14ac:dyDescent="0.2">
      <c r="C134" s="6"/>
    </row>
    <row r="135" spans="1:4" x14ac:dyDescent="0.2">
      <c r="B135" s="6" t="s">
        <v>29</v>
      </c>
      <c r="C135" s="9" t="s">
        <v>21</v>
      </c>
    </row>
    <row r="136" spans="1:4" x14ac:dyDescent="0.2">
      <c r="C136" s="6"/>
    </row>
    <row r="137" spans="1:4" x14ac:dyDescent="0.2">
      <c r="C137" s="6"/>
    </row>
    <row r="138" spans="1:4" x14ac:dyDescent="0.2">
      <c r="C138" s="6"/>
    </row>
    <row r="139" spans="1:4" x14ac:dyDescent="0.2">
      <c r="A139" t="s">
        <v>31</v>
      </c>
      <c r="B139" t="s">
        <v>8</v>
      </c>
    </row>
    <row r="142" spans="1:4" x14ac:dyDescent="0.2">
      <c r="A142" t="s">
        <v>32</v>
      </c>
    </row>
    <row r="145" spans="1:2" x14ac:dyDescent="0.2">
      <c r="A145" t="s">
        <v>33</v>
      </c>
      <c r="B145" t="s">
        <v>10</v>
      </c>
    </row>
    <row r="148" spans="1:2" x14ac:dyDescent="0.2">
      <c r="A148" t="s">
        <v>65</v>
      </c>
    </row>
    <row r="149" spans="1:2" ht="15" x14ac:dyDescent="0.2">
      <c r="A149" s="12" t="s">
        <v>81</v>
      </c>
      <c r="B149" t="s">
        <v>82</v>
      </c>
    </row>
    <row r="150" spans="1:2" ht="15" x14ac:dyDescent="0.2">
      <c r="A150" s="12" t="s">
        <v>83</v>
      </c>
      <c r="B150" t="s">
        <v>84</v>
      </c>
    </row>
    <row r="151" spans="1:2" ht="15" x14ac:dyDescent="0.2">
      <c r="A151" s="12" t="s">
        <v>83</v>
      </c>
      <c r="B151" t="s">
        <v>104</v>
      </c>
    </row>
  </sheetData>
  <mergeCells count="3">
    <mergeCell ref="A2:F2"/>
    <mergeCell ref="E101:F101"/>
    <mergeCell ref="D100:F100"/>
  </mergeCells>
  <pageMargins left="0.98425196850393704" right="0.59055118110236227" top="0.6692913385826772" bottom="0.6692913385826772" header="0.51181102362204722" footer="0.51181102362204722"/>
  <pageSetup paperSize="9" scale="65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Drop Down 1">
              <controlPr defaultSize="0" autoLine="0" autoPict="0">
                <anchor moveWithCells="1">
                  <from>
                    <xdr:col>3</xdr:col>
                    <xdr:colOff>9525</xdr:colOff>
                    <xdr:row>92</xdr:row>
                    <xdr:rowOff>9525</xdr:rowOff>
                  </from>
                  <to>
                    <xdr:col>5</xdr:col>
                    <xdr:colOff>3467100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Drop Down 2">
              <controlPr defaultSize="0" autoLine="0" autoPict="0" macro="[0]!Zera_Blindagem">
                <anchor moveWithCells="1">
                  <from>
                    <xdr:col>5</xdr:col>
                    <xdr:colOff>1028700</xdr:colOff>
                    <xdr:row>100</xdr:row>
                    <xdr:rowOff>9525</xdr:rowOff>
                  </from>
                  <to>
                    <xdr:col>5</xdr:col>
                    <xdr:colOff>3467100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autoLine="0" autoPict="0">
                <anchor moveWithCells="1">
                  <from>
                    <xdr:col>5</xdr:col>
                    <xdr:colOff>533400</xdr:colOff>
                    <xdr:row>22</xdr:row>
                    <xdr:rowOff>9525</xdr:rowOff>
                  </from>
                  <to>
                    <xdr:col>5</xdr:col>
                    <xdr:colOff>3467100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Drop Down 5">
              <controlPr defaultSize="0" autoLine="0" autoPict="0">
                <anchor moveWithCells="1">
                  <from>
                    <xdr:col>8</xdr:col>
                    <xdr:colOff>9525</xdr:colOff>
                    <xdr:row>82</xdr:row>
                    <xdr:rowOff>9525</xdr:rowOff>
                  </from>
                  <to>
                    <xdr:col>9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8" name="Drop Down 10">
              <controlPr defaultSize="0" autoLine="0" autoPict="0">
                <anchor moveWithCells="1">
                  <from>
                    <xdr:col>8</xdr:col>
                    <xdr:colOff>9525</xdr:colOff>
                    <xdr:row>100</xdr:row>
                    <xdr:rowOff>9525</xdr:rowOff>
                  </from>
                  <to>
                    <xdr:col>9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9" name="Drop Down 11">
              <controlPr defaultSize="0" autoLine="0" autoPict="0">
                <anchor moveWithCells="1">
                  <from>
                    <xdr:col>8</xdr:col>
                    <xdr:colOff>9525</xdr:colOff>
                    <xdr:row>103</xdr:row>
                    <xdr:rowOff>9525</xdr:rowOff>
                  </from>
                  <to>
                    <xdr:col>9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Drop Down 13">
              <controlPr defaultSize="0" autoLine="0" autoPict="0" macro="[0]!Cabo_Protecao">
                <anchor moveWithCells="1">
                  <from>
                    <xdr:col>8</xdr:col>
                    <xdr:colOff>9525</xdr:colOff>
                    <xdr:row>101</xdr:row>
                    <xdr:rowOff>9525</xdr:rowOff>
                  </from>
                  <to>
                    <xdr:col>9</xdr:col>
                    <xdr:colOff>0</xdr:colOff>
                    <xdr:row>101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CED89-7EF1-45DD-9B21-28E29960CE8D}">
  <sheetPr codeName="Sheet2"/>
  <dimension ref="A2:K21"/>
  <sheetViews>
    <sheetView workbookViewId="0">
      <selection activeCell="K18" sqref="K18"/>
    </sheetView>
  </sheetViews>
  <sheetFormatPr defaultRowHeight="12.75" x14ac:dyDescent="0.2"/>
  <cols>
    <col min="1" max="1" width="3.83203125" customWidth="1"/>
    <col min="2" max="2" width="39.6640625" bestFit="1" customWidth="1"/>
    <col min="3" max="3" width="5.83203125" customWidth="1"/>
    <col min="4" max="4" width="3.83203125" customWidth="1"/>
    <col min="5" max="5" width="30.5" bestFit="1" customWidth="1"/>
    <col min="6" max="6" width="5.83203125" customWidth="1"/>
    <col min="7" max="7" width="3.83203125" customWidth="1"/>
    <col min="8" max="8" width="30.5" bestFit="1" customWidth="1"/>
    <col min="9" max="9" width="5.83203125" customWidth="1"/>
    <col min="10" max="10" width="3.83203125" customWidth="1"/>
    <col min="11" max="11" width="26.1640625" bestFit="1" customWidth="1"/>
  </cols>
  <sheetData>
    <row r="2" spans="1:11" x14ac:dyDescent="0.2">
      <c r="B2" s="3" t="s">
        <v>22</v>
      </c>
      <c r="C2" s="8"/>
      <c r="E2" s="3" t="s">
        <v>42</v>
      </c>
      <c r="F2" s="8"/>
      <c r="H2" s="3" t="s">
        <v>47</v>
      </c>
      <c r="I2" s="8"/>
      <c r="K2" s="3" t="s">
        <v>162</v>
      </c>
    </row>
    <row r="3" spans="1:11" x14ac:dyDescent="0.2">
      <c r="A3" s="4">
        <v>1</v>
      </c>
      <c r="B3" s="2"/>
      <c r="C3" s="7"/>
      <c r="D3" s="4">
        <v>1</v>
      </c>
      <c r="E3" s="2"/>
      <c r="F3" s="7"/>
      <c r="G3" s="4">
        <v>1</v>
      </c>
      <c r="H3" s="2"/>
      <c r="I3" s="7"/>
      <c r="J3" s="4">
        <v>1</v>
      </c>
      <c r="K3" s="2" t="s">
        <v>166</v>
      </c>
    </row>
    <row r="4" spans="1:11" x14ac:dyDescent="0.2">
      <c r="A4" s="4">
        <v>2</v>
      </c>
      <c r="B4" s="2" t="s">
        <v>141</v>
      </c>
      <c r="C4" s="7"/>
      <c r="D4" s="4">
        <v>2</v>
      </c>
      <c r="E4" s="2" t="s">
        <v>43</v>
      </c>
      <c r="F4" s="7"/>
      <c r="G4" s="4">
        <v>2</v>
      </c>
      <c r="H4" s="2" t="s">
        <v>51</v>
      </c>
      <c r="I4" s="7"/>
      <c r="J4" s="4">
        <v>2</v>
      </c>
      <c r="K4" s="2" t="s">
        <v>163</v>
      </c>
    </row>
    <row r="5" spans="1:11" x14ac:dyDescent="0.2">
      <c r="A5" s="4">
        <v>3</v>
      </c>
      <c r="B5" s="2" t="s">
        <v>23</v>
      </c>
      <c r="C5" s="7"/>
      <c r="D5" s="4">
        <v>3</v>
      </c>
      <c r="E5" s="2" t="s">
        <v>44</v>
      </c>
      <c r="F5" s="7"/>
      <c r="G5" s="4">
        <v>3</v>
      </c>
      <c r="H5" s="2" t="s">
        <v>48</v>
      </c>
      <c r="I5" s="7"/>
      <c r="J5" s="4">
        <v>3</v>
      </c>
      <c r="K5" s="2" t="s">
        <v>164</v>
      </c>
    </row>
    <row r="6" spans="1:11" x14ac:dyDescent="0.2">
      <c r="A6" s="4">
        <v>4</v>
      </c>
      <c r="B6" s="2" t="s">
        <v>139</v>
      </c>
      <c r="C6" s="7"/>
      <c r="D6" s="4">
        <v>4</v>
      </c>
      <c r="E6" s="2" t="s">
        <v>45</v>
      </c>
      <c r="F6" s="7"/>
      <c r="G6" s="4">
        <v>4</v>
      </c>
      <c r="H6" s="2" t="s">
        <v>49</v>
      </c>
      <c r="I6" s="7"/>
      <c r="J6" s="4">
        <v>4</v>
      </c>
      <c r="K6" s="2" t="s">
        <v>165</v>
      </c>
    </row>
    <row r="7" spans="1:11" x14ac:dyDescent="0.2">
      <c r="A7" s="4">
        <v>5</v>
      </c>
      <c r="B7" s="2" t="s">
        <v>140</v>
      </c>
      <c r="C7" s="7"/>
      <c r="D7" s="4">
        <v>5</v>
      </c>
      <c r="E7" s="2" t="s">
        <v>46</v>
      </c>
      <c r="F7" s="7"/>
      <c r="G7" s="4">
        <v>5</v>
      </c>
      <c r="H7" s="2" t="s">
        <v>50</v>
      </c>
      <c r="I7" s="7"/>
    </row>
    <row r="8" spans="1:11" x14ac:dyDescent="0.2">
      <c r="A8" s="4">
        <v>6</v>
      </c>
      <c r="B8" s="2" t="s">
        <v>24</v>
      </c>
      <c r="C8" s="7"/>
      <c r="K8" s="3" t="s">
        <v>168</v>
      </c>
    </row>
    <row r="9" spans="1:11" x14ac:dyDescent="0.2">
      <c r="A9" s="4">
        <v>7</v>
      </c>
      <c r="B9" s="2" t="s">
        <v>25</v>
      </c>
      <c r="C9" s="7"/>
      <c r="E9" s="3" t="s">
        <v>112</v>
      </c>
      <c r="H9" s="3" t="s">
        <v>120</v>
      </c>
      <c r="J9" s="4">
        <v>1</v>
      </c>
      <c r="K9" s="2" t="s">
        <v>163</v>
      </c>
    </row>
    <row r="10" spans="1:11" x14ac:dyDescent="0.2">
      <c r="A10" s="4">
        <v>8</v>
      </c>
      <c r="B10" s="2" t="s">
        <v>26</v>
      </c>
      <c r="C10" s="7"/>
      <c r="D10" s="4">
        <v>1</v>
      </c>
      <c r="E10" s="2"/>
      <c r="G10" s="4">
        <v>1</v>
      </c>
      <c r="H10" s="2"/>
      <c r="J10" s="4">
        <v>2</v>
      </c>
      <c r="K10" s="2" t="s">
        <v>164</v>
      </c>
    </row>
    <row r="11" spans="1:11" x14ac:dyDescent="0.2">
      <c r="D11" s="4">
        <v>2</v>
      </c>
      <c r="E11" s="2" t="s">
        <v>113</v>
      </c>
      <c r="G11" s="4">
        <v>2</v>
      </c>
      <c r="H11" s="2" t="s">
        <v>121</v>
      </c>
    </row>
    <row r="12" spans="1:11" x14ac:dyDescent="0.2">
      <c r="B12" s="3" t="s">
        <v>88</v>
      </c>
      <c r="D12" s="4">
        <v>3</v>
      </c>
      <c r="E12" s="2" t="s">
        <v>114</v>
      </c>
      <c r="G12" s="4">
        <v>3</v>
      </c>
      <c r="H12" s="2" t="s">
        <v>122</v>
      </c>
    </row>
    <row r="13" spans="1:11" x14ac:dyDescent="0.2">
      <c r="A13" s="4">
        <v>1</v>
      </c>
      <c r="B13" s="2"/>
      <c r="D13" s="4">
        <v>4</v>
      </c>
      <c r="E13" s="2" t="s">
        <v>115</v>
      </c>
      <c r="G13" s="4">
        <v>4</v>
      </c>
      <c r="H13" s="2" t="s">
        <v>123</v>
      </c>
    </row>
    <row r="14" spans="1:11" x14ac:dyDescent="0.2">
      <c r="A14" s="4">
        <v>2</v>
      </c>
      <c r="B14" s="2" t="s">
        <v>89</v>
      </c>
      <c r="G14" s="4">
        <v>5</v>
      </c>
      <c r="H14" s="2" t="s">
        <v>124</v>
      </c>
    </row>
    <row r="15" spans="1:11" x14ac:dyDescent="0.2">
      <c r="A15" s="4">
        <v>3</v>
      </c>
      <c r="B15" s="2" t="s">
        <v>94</v>
      </c>
      <c r="E15" s="3" t="s">
        <v>154</v>
      </c>
    </row>
    <row r="16" spans="1:11" x14ac:dyDescent="0.2">
      <c r="A16" s="4">
        <v>4</v>
      </c>
      <c r="B16" s="2" t="s">
        <v>90</v>
      </c>
      <c r="D16" s="4">
        <v>1</v>
      </c>
      <c r="E16" s="2"/>
    </row>
    <row r="17" spans="1:5" x14ac:dyDescent="0.2">
      <c r="A17" s="4">
        <v>5</v>
      </c>
      <c r="B17" s="2" t="s">
        <v>91</v>
      </c>
      <c r="D17" s="4">
        <v>2</v>
      </c>
      <c r="E17" s="2" t="s">
        <v>155</v>
      </c>
    </row>
    <row r="18" spans="1:5" x14ac:dyDescent="0.2">
      <c r="A18" s="4">
        <v>6</v>
      </c>
      <c r="B18" s="2" t="s">
        <v>92</v>
      </c>
      <c r="D18" s="4">
        <v>3</v>
      </c>
      <c r="E18" s="2" t="s">
        <v>156</v>
      </c>
    </row>
    <row r="19" spans="1:5" x14ac:dyDescent="0.2">
      <c r="A19" s="4">
        <v>7</v>
      </c>
      <c r="B19" s="2" t="s">
        <v>93</v>
      </c>
    </row>
    <row r="20" spans="1:5" x14ac:dyDescent="0.2">
      <c r="A20" s="4">
        <v>8</v>
      </c>
      <c r="B20" s="2" t="s">
        <v>95</v>
      </c>
    </row>
    <row r="21" spans="1:5" x14ac:dyDescent="0.2">
      <c r="A21" s="4">
        <v>9</v>
      </c>
      <c r="B21" s="2" t="s">
        <v>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DEF</vt:lpstr>
      <vt:lpstr>CALC</vt:lpstr>
      <vt:lpstr>TAB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Paulo Oliveira</dc:creator>
  <cp:lastModifiedBy>Paulo Oliveira</cp:lastModifiedBy>
  <cp:lastPrinted>2025-12-25T18:49:04Z</cp:lastPrinted>
  <dcterms:created xsi:type="dcterms:W3CDTF">2025-12-24T19:03:42Z</dcterms:created>
  <dcterms:modified xsi:type="dcterms:W3CDTF">2025-12-25T22:55:35Z</dcterms:modified>
</cp:coreProperties>
</file>