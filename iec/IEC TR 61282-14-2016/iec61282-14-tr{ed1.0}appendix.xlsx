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7860" yWindow="480" windowWidth="16560" windowHeight="11700"/>
  </bookViews>
  <sheets>
    <sheet name="Guidance" sheetId="1" r:id="rId1"/>
    <sheet name="Uncertainties_estimation" sheetId="2" r:id="rId2"/>
    <sheet name="Uncertainties_sources" sheetId="3" r:id="rId3"/>
  </sheets>
  <definedNames>
    <definedName name="_xlnm.Print_Area" localSheetId="0">Guidance!$A$1:$D$45</definedName>
    <definedName name="_xlnm.Print_Area" localSheetId="1">Uncertainties_estimation!$B$2:$L$43</definedName>
    <definedName name="_xlnm.Print_Area" localSheetId="2">Uncertainties_sources!$B$2:$M$42</definedName>
  </definedNames>
  <calcPr calcId="145621"/>
</workbook>
</file>

<file path=xl/calcChain.xml><?xml version="1.0" encoding="utf-8"?>
<calcChain xmlns="http://schemas.openxmlformats.org/spreadsheetml/2006/main">
  <c r="J7" i="3" l="1"/>
  <c r="G7" i="3" l="1"/>
  <c r="G6" i="3" l="1"/>
  <c r="B7" i="2" l="1"/>
  <c r="B37" i="2" l="1"/>
  <c r="H7" i="3" l="1"/>
  <c r="G8" i="3"/>
  <c r="C37" i="2"/>
  <c r="I37" i="2"/>
  <c r="H37" i="2"/>
  <c r="G37" i="2"/>
  <c r="F37" i="2"/>
  <c r="E37" i="2"/>
  <c r="D37" i="2"/>
  <c r="I18" i="3"/>
  <c r="G18" i="3"/>
  <c r="J37" i="2" l="1"/>
  <c r="L37" i="2" s="1"/>
  <c r="K37" i="2" l="1"/>
  <c r="F18" i="2"/>
  <c r="I18" i="2"/>
  <c r="F19" i="2"/>
  <c r="I19" i="2"/>
  <c r="F20" i="2"/>
  <c r="I20" i="2"/>
  <c r="F21" i="2"/>
  <c r="I21" i="2"/>
  <c r="F22" i="2"/>
  <c r="I22" i="2"/>
  <c r="F23" i="2"/>
  <c r="G23" i="2"/>
  <c r="I23" i="2"/>
  <c r="G20" i="3"/>
  <c r="G17" i="3"/>
  <c r="G14" i="3"/>
  <c r="G12" i="3"/>
  <c r="G11" i="3"/>
  <c r="G20" i="2"/>
  <c r="G21" i="2"/>
  <c r="H20" i="3" l="1"/>
  <c r="H17" i="3"/>
  <c r="H12" i="3"/>
  <c r="H13" i="3"/>
  <c r="H14" i="3"/>
  <c r="H11" i="3"/>
  <c r="H10" i="3"/>
  <c r="H8" i="3"/>
  <c r="G9" i="3"/>
  <c r="G22" i="2" s="1"/>
  <c r="G19" i="3"/>
  <c r="G16" i="3"/>
  <c r="G15" i="3"/>
  <c r="G5" i="3"/>
  <c r="G18" i="2" s="1"/>
  <c r="H6" i="3" l="1"/>
  <c r="G19" i="2"/>
  <c r="K13" i="2"/>
  <c r="I39" i="2" l="1"/>
  <c r="I38" i="2"/>
  <c r="I33" i="2"/>
  <c r="I32" i="2"/>
  <c r="I31" i="2"/>
  <c r="I27" i="2"/>
  <c r="I26" i="2"/>
  <c r="I25" i="2"/>
  <c r="I24" i="2"/>
  <c r="P5" i="3" l="1"/>
  <c r="G31" i="2" l="1"/>
  <c r="G39" i="2"/>
  <c r="G33" i="2"/>
  <c r="G25" i="2"/>
  <c r="G24" i="2"/>
  <c r="N10" i="3"/>
  <c r="N8" i="3"/>
  <c r="N6" i="3"/>
  <c r="F39" i="2"/>
  <c r="E39" i="2"/>
  <c r="D39" i="2"/>
  <c r="C39" i="2"/>
  <c r="B39" i="2"/>
  <c r="F38" i="2"/>
  <c r="E38" i="2"/>
  <c r="D38" i="2"/>
  <c r="C38" i="2"/>
  <c r="B38" i="2"/>
  <c r="F33" i="2"/>
  <c r="E33" i="2"/>
  <c r="D33" i="2"/>
  <c r="C33" i="2"/>
  <c r="B33" i="2"/>
  <c r="F32" i="2"/>
  <c r="E32" i="2"/>
  <c r="D32" i="2"/>
  <c r="C32" i="2"/>
  <c r="B32" i="2"/>
  <c r="F31" i="2"/>
  <c r="E31" i="2"/>
  <c r="D31" i="2"/>
  <c r="C31" i="2"/>
  <c r="B31" i="2"/>
  <c r="G27" i="2"/>
  <c r="F27" i="2"/>
  <c r="E27" i="2"/>
  <c r="D27" i="2"/>
  <c r="C27" i="2"/>
  <c r="B27" i="2"/>
  <c r="G26" i="2"/>
  <c r="F26" i="2"/>
  <c r="E26" i="2"/>
  <c r="D26" i="2"/>
  <c r="C26" i="2"/>
  <c r="B26" i="2"/>
  <c r="F25" i="2"/>
  <c r="E25" i="2"/>
  <c r="D25" i="2"/>
  <c r="C25" i="2"/>
  <c r="B25" i="2"/>
  <c r="F24" i="2"/>
  <c r="E24" i="2"/>
  <c r="D24" i="2"/>
  <c r="C24" i="2"/>
  <c r="B24" i="2"/>
  <c r="E23" i="2"/>
  <c r="D23" i="2"/>
  <c r="C23" i="2"/>
  <c r="B23" i="2"/>
  <c r="E22" i="2"/>
  <c r="D22" i="2"/>
  <c r="C22" i="2"/>
  <c r="B22" i="2"/>
  <c r="E21" i="2"/>
  <c r="D21" i="2"/>
  <c r="C21" i="2"/>
  <c r="B21" i="2"/>
  <c r="E20" i="2"/>
  <c r="D20" i="2"/>
  <c r="C20" i="2"/>
  <c r="B20" i="2"/>
  <c r="E19" i="2"/>
  <c r="D19" i="2"/>
  <c r="C19" i="2"/>
  <c r="B19" i="2"/>
  <c r="E18" i="2"/>
  <c r="D18" i="2"/>
  <c r="C18" i="2"/>
  <c r="B18" i="2"/>
  <c r="I20" i="3"/>
  <c r="H39" i="2" s="1"/>
  <c r="I19" i="3"/>
  <c r="H38" i="2" s="1"/>
  <c r="G38" i="2"/>
  <c r="I17" i="3"/>
  <c r="H33" i="2" s="1"/>
  <c r="I16" i="3"/>
  <c r="H32" i="2" s="1"/>
  <c r="G32" i="2"/>
  <c r="I15" i="3"/>
  <c r="H31" i="2" s="1"/>
  <c r="H27" i="2"/>
  <c r="I13" i="3"/>
  <c r="H26" i="2" s="1"/>
  <c r="I12" i="3"/>
  <c r="H25" i="2" s="1"/>
  <c r="I11" i="3"/>
  <c r="H24" i="2" s="1"/>
  <c r="I10" i="3"/>
  <c r="H23" i="2" s="1"/>
  <c r="J23" i="2" s="1"/>
  <c r="K23" i="2" s="1"/>
  <c r="I9" i="3"/>
  <c r="H22" i="2" s="1"/>
  <c r="J22" i="2" s="1"/>
  <c r="K22" i="2" s="1"/>
  <c r="I8" i="3"/>
  <c r="H21" i="2" s="1"/>
  <c r="J21" i="2" s="1"/>
  <c r="K21" i="2" s="1"/>
  <c r="I7" i="3"/>
  <c r="H20" i="2" s="1"/>
  <c r="J20" i="2" s="1"/>
  <c r="K20" i="2" s="1"/>
  <c r="I6" i="3"/>
  <c r="H19" i="2" s="1"/>
  <c r="J19" i="2" s="1"/>
  <c r="K19" i="2" s="1"/>
  <c r="H18" i="2"/>
  <c r="J18" i="2" s="1"/>
  <c r="K18" i="2" s="1"/>
  <c r="B8" i="2"/>
  <c r="B6" i="2"/>
  <c r="J26" i="2" l="1"/>
  <c r="L26" i="2" s="1"/>
  <c r="J32" i="2"/>
  <c r="L32" i="2" s="1"/>
  <c r="J24" i="2"/>
  <c r="L24" i="2" s="1"/>
  <c r="L20" i="2"/>
  <c r="L21" i="2"/>
  <c r="L23" i="2"/>
  <c r="J27" i="2"/>
  <c r="L27" i="2" s="1"/>
  <c r="L22" i="2"/>
  <c r="J33" i="2"/>
  <c r="L33" i="2" s="1"/>
  <c r="J31" i="2"/>
  <c r="L31" i="2" s="1"/>
  <c r="L19" i="2"/>
  <c r="J39" i="2"/>
  <c r="L39" i="2" s="1"/>
  <c r="J25" i="2"/>
  <c r="L25" i="2" s="1"/>
  <c r="L18" i="2"/>
  <c r="J38" i="2"/>
  <c r="L38" i="2" s="1"/>
  <c r="L40" i="2" l="1"/>
  <c r="L28" i="2"/>
  <c r="L34" i="2"/>
  <c r="K39" i="2"/>
  <c r="K38" i="2"/>
  <c r="K27" i="2"/>
  <c r="K24" i="2"/>
  <c r="K31" i="2"/>
  <c r="K32" i="2"/>
  <c r="K25" i="2"/>
  <c r="K33" i="2"/>
  <c r="K26" i="2"/>
  <c r="K40" i="2" l="1"/>
  <c r="C8" i="2" s="1"/>
  <c r="D8" i="2" s="1"/>
  <c r="K28" i="2"/>
  <c r="C6" i="2" s="1"/>
  <c r="D6" i="2" s="1"/>
  <c r="K34" i="2"/>
  <c r="C7" i="2" s="1"/>
  <c r="D7" i="2" s="1"/>
  <c r="D9" i="2" l="1"/>
  <c r="L43" i="2" s="1"/>
  <c r="D10" i="2" s="1"/>
  <c r="D11" i="2" l="1"/>
  <c r="D12" i="2" s="1"/>
  <c r="D13" i="2" s="1"/>
</calcChain>
</file>

<file path=xl/sharedStrings.xml><?xml version="1.0" encoding="utf-8"?>
<sst xmlns="http://schemas.openxmlformats.org/spreadsheetml/2006/main" count="264" uniqueCount="148">
  <si>
    <t>IEC 61282-14 Supplemental Data for Section 8</t>
  </si>
  <si>
    <t>INTERNATIONAL ELECTROTECHNICAL COMMISSION</t>
  </si>
  <si>
    <t>Introduction</t>
  </si>
  <si>
    <t>The tool and its instructions presume that the user has a basic understanding of IEC 61282-14 and Microsoft Excel.</t>
  </si>
  <si>
    <t>Overview</t>
  </si>
  <si>
    <t>This workbook consists of the following 3 worksheets:</t>
  </si>
  <si>
    <t>Guidance</t>
  </si>
  <si>
    <t>Uncertainties estimation</t>
  </si>
  <si>
    <t>Uncertainties sources</t>
  </si>
  <si>
    <t>Initialisation</t>
  </si>
  <si>
    <t>Notes related to this version of the document</t>
  </si>
  <si>
    <t>Limitations / Known issues:</t>
  </si>
  <si>
    <t>Disclaimer</t>
  </si>
  <si>
    <t>Measurement Conditions :</t>
  </si>
  <si>
    <t>Method:</t>
  </si>
  <si>
    <t>Type of connectors:</t>
  </si>
  <si>
    <t>Number of OPM used:</t>
  </si>
  <si>
    <t>Source wavelength:</t>
  </si>
  <si>
    <t>nm</t>
  </si>
  <si>
    <t>Uncertainty of wavelength knowledge:</t>
  </si>
  <si>
    <t>Measured attenuation:</t>
  </si>
  <si>
    <t>dB</t>
  </si>
  <si>
    <r>
      <t>U(Att</t>
    </r>
    <r>
      <rPr>
        <vertAlign val="subscript"/>
        <sz val="10"/>
        <color rgb="FF000000"/>
        <rFont val="Arial"/>
        <family val="2"/>
      </rPr>
      <t>DUT</t>
    </r>
    <r>
      <rPr>
        <sz val="10"/>
        <color rgb="FF000000"/>
        <rFont val="Arial"/>
        <family val="2"/>
      </rPr>
      <t>)</t>
    </r>
  </si>
  <si>
    <t>Source output power:</t>
  </si>
  <si>
    <t>dBm</t>
  </si>
  <si>
    <t>%</t>
  </si>
  <si>
    <t xml:space="preserve"> </t>
  </si>
  <si>
    <t>Uncertainties due to measuring instruments</t>
  </si>
  <si>
    <t>Source of uncertainty</t>
  </si>
  <si>
    <t>Standard 
uncertainty
component u(xi)</t>
  </si>
  <si>
    <t>Type of uncertainty</t>
  </si>
  <si>
    <t>Units</t>
  </si>
  <si>
    <t>Dist. 
(n sigma)</t>
  </si>
  <si>
    <t>U (%)</t>
  </si>
  <si>
    <t>Reference</t>
  </si>
  <si>
    <t>Comments</t>
  </si>
  <si>
    <t>B</t>
  </si>
  <si>
    <t>Rectangular (1)</t>
  </si>
  <si>
    <t>Normal (2)</t>
  </si>
  <si>
    <t>Turned to 0 if "J6"=2; See note 1</t>
  </si>
  <si>
    <t>0 it is assumed note 2 apply all time</t>
  </si>
  <si>
    <t>Single Mode</t>
  </si>
  <si>
    <t>Multimode</t>
  </si>
  <si>
    <t>3-cord</t>
  </si>
  <si>
    <t>2-cord</t>
  </si>
  <si>
    <t>Sensibility coefficients (ci)</t>
  </si>
  <si>
    <t>B or A</t>
  </si>
  <si>
    <t>5.2.5.1</t>
  </si>
  <si>
    <t>5.2.5.2</t>
  </si>
  <si>
    <t>5.2.5.3</t>
  </si>
  <si>
    <t>5.2.5.4</t>
  </si>
  <si>
    <t>5.2.5.5</t>
  </si>
  <si>
    <t>5.2.5.6</t>
  </si>
  <si>
    <t>5.2.6.7</t>
  </si>
  <si>
    <t>5.2.5.8</t>
  </si>
  <si>
    <t>5.2.5.9</t>
  </si>
  <si>
    <t>5.2.5.10</t>
  </si>
  <si>
    <t>5.2.6.1</t>
  </si>
  <si>
    <t>5.2.6.2</t>
  </si>
  <si>
    <t>5.2.6.3</t>
  </si>
  <si>
    <t>5.2.7.1</t>
  </si>
  <si>
    <t>5.2.7.2</t>
  </si>
  <si>
    <t>Valid measurement conditions:</t>
  </si>
  <si>
    <t>See C.2.4</t>
  </si>
  <si>
    <t>See C.2.6</t>
  </si>
  <si>
    <t>Domain (nm)</t>
  </si>
  <si>
    <t>a0</t>
  </si>
  <si>
    <t>a1</t>
  </si>
  <si>
    <t>a2</t>
  </si>
  <si>
    <t>a3</t>
  </si>
  <si>
    <t>a4</t>
  </si>
  <si>
    <t>a5</t>
  </si>
  <si>
    <t>a6</t>
  </si>
  <si>
    <t>MM A1</t>
  </si>
  <si>
    <t>800 to 1350 nm</t>
  </si>
  <si>
    <t>SM B1.3</t>
  </si>
  <si>
    <t>1285 to 1385 nm</t>
  </si>
  <si>
    <t>1385 to 1675 nm</t>
  </si>
  <si>
    <t>km</t>
  </si>
  <si>
    <t>0.01 dB APC; 0.005 dB PC</t>
  </si>
  <si>
    <t>- OPM noise level is set to 100 pW (fixed value).</t>
  </si>
  <si>
    <t>See C.2.2 100 pW noise</t>
  </si>
  <si>
    <t>Sensitivity coefficient ci</t>
  </si>
  <si>
    <r>
      <t>14763-3</t>
    </r>
    <r>
      <rPr>
        <sz val="10"/>
        <rFont val="Arial"/>
        <family val="2"/>
      </rPr>
      <t xml:space="preserve"> Channels</t>
    </r>
  </si>
  <si>
    <r>
      <t xml:space="preserve">14763-3 </t>
    </r>
    <r>
      <rPr>
        <sz val="10"/>
        <rFont val="Arial"/>
        <family val="2"/>
      </rPr>
      <t>Channels</t>
    </r>
  </si>
  <si>
    <t>1-cord &amp; 
14763-3 Links</t>
  </si>
  <si>
    <t>n</t>
  </si>
  <si>
    <t>Distr. 
Coeff.</t>
  </si>
  <si>
    <t>Determination of the uncertainties of the attenuation 
measurements in fibre plants</t>
  </si>
  <si>
    <t>0.2 dB if "J6"=2. See note 3</t>
  </si>
  <si>
    <t>Effective degrees of freedom</t>
  </si>
  <si>
    <r>
      <rPr>
        <sz val="10"/>
        <color rgb="FF000080"/>
        <rFont val="Symbol"/>
        <family val="1"/>
        <charset val="2"/>
      </rPr>
      <t>n</t>
    </r>
    <r>
      <rPr>
        <vertAlign val="subscript"/>
        <sz val="10"/>
        <color rgb="FF000080"/>
        <rFont val="Arial"/>
        <family val="2"/>
      </rPr>
      <t>eff</t>
    </r>
  </si>
  <si>
    <t>IEC 61282-14 Supplemental Data for 
Section 8</t>
  </si>
  <si>
    <t>Assume Equ C2 is used.</t>
  </si>
  <si>
    <t>5.2.7.3</t>
  </si>
  <si>
    <t>PC</t>
  </si>
  <si>
    <t>0.005 dB</t>
  </si>
  <si>
    <r>
      <t xml:space="preserve">Exp factor k, if </t>
    </r>
    <r>
      <rPr>
        <b/>
        <sz val="10"/>
        <color rgb="FF000000"/>
        <rFont val="Symbol"/>
        <family val="1"/>
        <charset val="2"/>
      </rPr>
      <t>n</t>
    </r>
    <r>
      <rPr>
        <b/>
        <vertAlign val="subscript"/>
        <sz val="10"/>
        <color rgb="FF000000"/>
        <rFont val="Arial"/>
        <family val="2"/>
      </rPr>
      <t>eff</t>
    </r>
    <r>
      <rPr>
        <b/>
        <sz val="10"/>
        <color rgb="FF000000"/>
        <rFont val="Arial"/>
        <family val="2"/>
      </rPr>
      <t xml:space="preserve"> &lt;50 k = Student's t for </t>
    </r>
    <r>
      <rPr>
        <b/>
        <sz val="10"/>
        <color rgb="FF000000"/>
        <rFont val="Symbol"/>
        <family val="1"/>
        <charset val="2"/>
      </rPr>
      <t>n</t>
    </r>
    <r>
      <rPr>
        <b/>
        <vertAlign val="subscript"/>
        <sz val="10"/>
        <color rgb="FF000000"/>
        <rFont val="Arial"/>
        <family val="2"/>
      </rPr>
      <t xml:space="preserve">eff </t>
    </r>
    <r>
      <rPr>
        <b/>
        <sz val="10"/>
        <color rgb="FF000000"/>
        <rFont val="Arial"/>
        <family val="2"/>
      </rPr>
      <t>and CL 95% otherwise k=2</t>
    </r>
  </si>
  <si>
    <t>0.018 dB if applicable. C.2.7 &amp; note 4</t>
  </si>
  <si>
    <t>This workbook provides a tool for estimating measurement uncertainties as described in IEC 61282-14.</t>
  </si>
  <si>
    <t>This worksheet provides guidance on the use of the workbook.</t>
  </si>
  <si>
    <t>This worksheet provides uncertainties calculation as described in IEC 61282-14 (Cells "D12" and "D13").</t>
  </si>
  <si>
    <t>It shall be configured to estimate the measurement uncertainties (see Item 3).</t>
  </si>
  <si>
    <t>This worksheet reproduces IEC 61282-14, Table 5, Table 6, Table 8 and typical uncertainty values.</t>
  </si>
  <si>
    <t>Please setup measurement conditions (Worksheet "Uncertainties estimation" cells J4 to J12).</t>
  </si>
  <si>
    <t>This worksheet provides the calculation of uncertainties as described in IEC 61282-14 (Cells "D12" and "D13").</t>
  </si>
  <si>
    <t>Type of connector:  Indicate if the connectors are angled or not (APC or PC).</t>
  </si>
  <si>
    <t>Number of OPM used: Select "1" if the same OPM is used for reference and attenuation measurement; otherwise select "2".</t>
  </si>
  <si>
    <t>Source wavelength: Enter the source wavelength in nm. Enter the exact value if this value is known.</t>
  </si>
  <si>
    <t>Uncertainty of wavelength knowledge: Enter the uncertainty associated with the source wavelength.</t>
  </si>
  <si>
    <t>Measured attenuation: Enter the range of measured attenuation in dB (important for multimode fibre).</t>
  </si>
  <si>
    <t>Fiber length: Enter the estimated length of fibre.</t>
  </si>
  <si>
    <t>Source output power: Enter the typical power level of the source.</t>
  </si>
  <si>
    <t>- Multimode fibres are limited to 60793-2-10 type A1a only.</t>
  </si>
  <si>
    <t>- Same type of connector shall be used. Note b) of Clause 7, Tables 5 and 6, always applies.</t>
  </si>
  <si>
    <t>The IEC disclaims liability for any personal injury, property or other damages of any nature whatsoever, whether special, indirect, consequential or compensatory, directly or indirectly resulting from this software and the document upon which its methods are based, used for, or relied upon.</t>
  </si>
  <si>
    <t xml:space="preserve">Relative uncertainty arising from the instability of the optical source </t>
  </si>
  <si>
    <t>Relative uncertainty due to the multimode launch condition</t>
  </si>
  <si>
    <t>Relative attenuation uncertainty arising from the uncertainty of the optical source wavelength</t>
  </si>
  <si>
    <t>Relative uncertainty arising from the non-linearity of the power meter</t>
  </si>
  <si>
    <t xml:space="preserve">Relative uncertainty arising from the finite display resolution of power meter </t>
  </si>
  <si>
    <t xml:space="preserve">Relative uncertainty arising from power meter spatial sensitivity. </t>
  </si>
  <si>
    <t xml:space="preserve">Relative uncertainty arising from the polarization dependency of power meter </t>
  </si>
  <si>
    <t xml:space="preserve">Relative uncertainty arising from power meter noise </t>
  </si>
  <si>
    <t>Relative uncertainty arising from power meter instability</t>
  </si>
  <si>
    <t xml:space="preserve">Relative uncertainties of the absolute power measurements </t>
  </si>
  <si>
    <t>Relative uncertainties due to mating reproducibility</t>
  </si>
  <si>
    <t>Relative uncertainty related to the repeatability of the reference connector mating.</t>
  </si>
  <si>
    <t>Relative uncertainty related to the PDL of the reference APC connectors.</t>
  </si>
  <si>
    <t>Relative uncertainty related to the repeatability of the reference connector mating to cabling connectors</t>
  </si>
  <si>
    <t>Relative uncertainty related to the PDL of the cabling APC connectors</t>
  </si>
  <si>
    <t>Relative uncertainty related to the PDL of the reference APC connectors</t>
  </si>
  <si>
    <t>Relative uncertainty related to the repeatability of the reference connector mating</t>
  </si>
  <si>
    <t>Relative uncertainty arising from power meter spatial sensitivity</t>
  </si>
  <si>
    <r>
      <t>u(x</t>
    </r>
    <r>
      <rPr>
        <b/>
        <i/>
        <vertAlign val="subscript"/>
        <sz val="10"/>
        <color rgb="FF000080"/>
        <rFont val="Arial"/>
        <family val="2"/>
      </rPr>
      <t>i</t>
    </r>
    <r>
      <rPr>
        <b/>
        <i/>
        <sz val="10"/>
        <color rgb="FF000080"/>
        <rFont val="Arial"/>
        <family val="2"/>
      </rPr>
      <t>)</t>
    </r>
  </si>
  <si>
    <r>
      <t>(</t>
    </r>
    <r>
      <rPr>
        <b/>
        <i/>
        <sz val="10"/>
        <color rgb="FF000080"/>
        <rFont val="Arial"/>
        <family val="2"/>
      </rPr>
      <t>u(xi)</t>
    </r>
    <r>
      <rPr>
        <b/>
        <sz val="10"/>
        <color rgb="FF000080"/>
        <rFont val="Arial"/>
        <family val="2"/>
      </rPr>
      <t>)</t>
    </r>
    <r>
      <rPr>
        <b/>
        <vertAlign val="superscript"/>
        <sz val="10"/>
        <color rgb="FF000080"/>
        <rFont val="Arial"/>
        <family val="2"/>
      </rPr>
      <t>2</t>
    </r>
  </si>
  <si>
    <r>
      <t xml:space="preserve">(ci </t>
    </r>
    <r>
      <rPr>
        <b/>
        <i/>
        <sz val="10"/>
        <color rgb="FF000080"/>
        <rFont val="Arial"/>
        <family val="2"/>
      </rPr>
      <t>u(xi)</t>
    </r>
    <r>
      <rPr>
        <b/>
        <sz val="10"/>
        <color rgb="FF000080"/>
        <rFont val="Arial"/>
        <family val="2"/>
      </rPr>
      <t>)</t>
    </r>
    <r>
      <rPr>
        <b/>
        <vertAlign val="superscript"/>
        <sz val="10"/>
        <color rgb="FF000080"/>
        <rFont val="Arial"/>
        <family val="2"/>
      </rPr>
      <t>4</t>
    </r>
    <r>
      <rPr>
        <b/>
        <sz val="10"/>
        <color rgb="FF000080"/>
        <rFont val="Arial"/>
        <family val="2"/>
      </rPr>
      <t>/</t>
    </r>
    <r>
      <rPr>
        <b/>
        <sz val="10"/>
        <color rgb="FF000080"/>
        <rFont val="Symbol"/>
        <family val="1"/>
        <charset val="2"/>
      </rPr>
      <t>n</t>
    </r>
    <r>
      <rPr>
        <b/>
        <sz val="10"/>
        <color rgb="FF000080"/>
        <rFont val="Arial"/>
        <family val="2"/>
      </rPr>
      <t>i</t>
    </r>
  </si>
  <si>
    <r>
      <t>u</t>
    </r>
    <r>
      <rPr>
        <b/>
        <i/>
        <vertAlign val="subscript"/>
        <sz val="10"/>
        <color rgb="FF000080"/>
        <rFont val="Arial"/>
        <family val="2"/>
      </rPr>
      <t>i</t>
    </r>
  </si>
  <si>
    <r>
      <t>(</t>
    </r>
    <r>
      <rPr>
        <b/>
        <i/>
        <sz val="10"/>
        <color rgb="FF000080"/>
        <rFont val="Arial"/>
        <family val="2"/>
      </rPr>
      <t>u</t>
    </r>
    <r>
      <rPr>
        <b/>
        <i/>
        <vertAlign val="subscript"/>
        <sz val="10"/>
        <color rgb="FF000080"/>
        <rFont val="Arial"/>
        <family val="2"/>
      </rPr>
      <t>i</t>
    </r>
    <r>
      <rPr>
        <b/>
        <sz val="10"/>
        <color rgb="FF000080"/>
        <rFont val="Arial"/>
        <family val="2"/>
      </rPr>
      <t>)</t>
    </r>
    <r>
      <rPr>
        <b/>
        <vertAlign val="superscript"/>
        <sz val="10"/>
        <color rgb="FF000080"/>
        <rFont val="Arial"/>
        <family val="2"/>
      </rPr>
      <t>2</t>
    </r>
  </si>
  <si>
    <t>Relative uncertainty due to the setup</t>
  </si>
  <si>
    <t>Relative uncertainties due to cabling</t>
  </si>
  <si>
    <t>Total relative uncertainty</t>
  </si>
  <si>
    <t>Fibre length:</t>
  </si>
  <si>
    <t>- Uncertainties values are typical values provided as examples (see comments)</t>
  </si>
  <si>
    <t>SM-1 cord</t>
  </si>
  <si>
    <t xml:space="preserve">Version: Ed.1 </t>
  </si>
  <si>
    <r>
      <t>u</t>
    </r>
    <r>
      <rPr>
        <sz val="10"/>
        <color rgb="FF000000"/>
        <rFont val="Arial"/>
        <family val="2"/>
      </rPr>
      <t>(Att</t>
    </r>
    <r>
      <rPr>
        <vertAlign val="subscript"/>
        <sz val="10"/>
        <color rgb="FF000000"/>
        <rFont val="Arial"/>
        <family val="2"/>
      </rPr>
      <t>DUT</t>
    </r>
    <r>
      <rPr>
        <sz val="10"/>
        <color rgb="FF000000"/>
        <rFont val="Arial"/>
        <family val="2"/>
      </rPr>
      <t>)</t>
    </r>
  </si>
  <si>
    <t>This worksheet shall not be altered.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</si>
</sst>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 _€_-;\-* #,##0.00\ _€_-;_-* &quot;-&quot;??\ _€_-;_-@_-"/>
    <numFmt numFmtId="164" formatCode="0.0000"/>
    <numFmt numFmtId="165" formatCode="0.000"/>
    <numFmt numFmtId="166" formatCode="0.000%"/>
    <numFmt numFmtId="167" formatCode="0.0E+00"/>
    <numFmt numFmtId="168" formatCode="0.0%"/>
    <numFmt numFmtId="169" formatCode="0.E+00"/>
    <numFmt numFmtId="170" formatCode="_-* #,##0.000\ _€_-;\-* #,##0.000\ _€_-;_-* &quot;-&quot;??\ _€_-;_-@_-"/>
    <numFmt numFmtId="171" formatCode="0.0"/>
  </numFmts>
  <fonts count="31" x14ac:knownFonts="1">
    <font>
      <sz val="10"/>
      <color rgb="FF000000"/>
      <name val="Arial"/>
      <family val="2"/>
    </font>
    <font>
      <sz val="10"/>
      <color rgb="FF000000"/>
      <name val="Arial"/>
      <family val="2"/>
    </font>
    <font>
      <sz val="11"/>
      <color rgb="FFFF0000"/>
      <name val="Calibri"/>
      <family val="2"/>
    </font>
    <font>
      <b/>
      <sz val="11"/>
      <color rgb="FF000000"/>
      <name val="Arial"/>
      <family val="2"/>
    </font>
    <font>
      <b/>
      <sz val="10"/>
      <color rgb="FF000000"/>
      <name val="Arial"/>
      <family val="2"/>
    </font>
    <font>
      <u/>
      <sz val="10"/>
      <color rgb="FF000000"/>
      <name val="Arial"/>
      <family val="2"/>
    </font>
    <font>
      <sz val="10"/>
      <color rgb="FF000080"/>
      <name val="Arial"/>
      <family val="2"/>
    </font>
    <font>
      <i/>
      <sz val="10"/>
      <color rgb="FF000080"/>
      <name val="Arial"/>
      <family val="2"/>
    </font>
    <font>
      <i/>
      <sz val="10"/>
      <color rgb="FF000000"/>
      <name val="Arial"/>
      <family val="2"/>
    </font>
    <font>
      <vertAlign val="subscript"/>
      <sz val="10"/>
      <color rgb="FF000000"/>
      <name val="Arial"/>
      <family val="2"/>
    </font>
    <font>
      <b/>
      <sz val="10"/>
      <color rgb="FF0000FF"/>
      <name val="Arial"/>
      <family val="2"/>
    </font>
    <font>
      <b/>
      <sz val="10"/>
      <color rgb="FF0070C0"/>
      <name val="Arial"/>
      <family val="2"/>
    </font>
    <font>
      <b/>
      <u/>
      <sz val="10"/>
      <color rgb="FF000000"/>
      <name val="Arial"/>
      <family val="2"/>
    </font>
    <font>
      <b/>
      <sz val="10"/>
      <color rgb="FF000080"/>
      <name val="Arial"/>
      <family val="2"/>
    </font>
    <font>
      <sz val="10"/>
      <color rgb="FFFFFFFF"/>
      <name val="Arial"/>
      <family val="2"/>
    </font>
    <font>
      <sz val="10"/>
      <color theme="0"/>
      <name val="Arial"/>
      <family val="2"/>
    </font>
    <font>
      <b/>
      <sz val="10"/>
      <color theme="0"/>
      <name val="Arial"/>
      <family val="2"/>
    </font>
    <font>
      <b/>
      <vertAlign val="subscript"/>
      <sz val="10"/>
      <color theme="0"/>
      <name val="Arial"/>
      <family val="2"/>
    </font>
    <font>
      <b/>
      <sz val="10"/>
      <color theme="0"/>
      <name val="Symbol"/>
      <family val="1"/>
      <charset val="2"/>
    </font>
    <font>
      <sz val="8"/>
      <color theme="0"/>
      <name val="Arial"/>
      <family val="2"/>
    </font>
    <font>
      <sz val="10"/>
      <name val="Arial"/>
      <family val="2"/>
    </font>
    <font>
      <sz val="10"/>
      <color rgb="FF000080"/>
      <name val="Symbol"/>
      <family val="1"/>
      <charset val="2"/>
    </font>
    <font>
      <b/>
      <vertAlign val="subscript"/>
      <sz val="10"/>
      <color rgb="FF000000"/>
      <name val="Arial"/>
      <family val="2"/>
    </font>
    <font>
      <b/>
      <sz val="10"/>
      <color rgb="FF000000"/>
      <name val="Symbol"/>
      <family val="1"/>
      <charset val="2"/>
    </font>
    <font>
      <b/>
      <sz val="10"/>
      <name val="Arial"/>
      <family val="2"/>
    </font>
    <font>
      <vertAlign val="subscript"/>
      <sz val="10"/>
      <color rgb="FF000080"/>
      <name val="Arial"/>
      <family val="2"/>
    </font>
    <font>
      <b/>
      <sz val="14"/>
      <name val="Arial"/>
      <family val="2"/>
    </font>
    <font>
      <b/>
      <sz val="10"/>
      <color rgb="FF000080"/>
      <name val="Symbol"/>
      <family val="1"/>
      <charset val="2"/>
    </font>
    <font>
      <b/>
      <i/>
      <sz val="10"/>
      <color rgb="FF000080"/>
      <name val="Arial"/>
      <family val="2"/>
    </font>
    <font>
      <b/>
      <i/>
      <vertAlign val="subscript"/>
      <sz val="10"/>
      <color rgb="FF000080"/>
      <name val="Arial"/>
      <family val="2"/>
    </font>
    <font>
      <b/>
      <vertAlign val="superscript"/>
      <sz val="10"/>
      <color rgb="FF000080"/>
      <name val="Arial"/>
      <family val="2"/>
    </font>
  </fonts>
  <fills count="9">
    <fill>
      <patternFill patternType="none"/>
    </fill>
    <fill>
      <patternFill patternType="gray125"/>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
      <patternFill patternType="solid">
        <fgColor rgb="FFBFBFBF"/>
        <bgColor rgb="FFBFBFBF"/>
      </patternFill>
    </fill>
    <fill>
      <patternFill patternType="solid">
        <fgColor rgb="FFFF0000"/>
        <bgColor indexed="64"/>
      </patternFill>
    </fill>
    <fill>
      <patternFill patternType="solid">
        <fgColor rgb="FF99FF66"/>
        <bgColor indexed="64"/>
      </patternFill>
    </fill>
    <fill>
      <patternFill patternType="solid">
        <fgColor theme="6" tint="0.59999389629810485"/>
        <bgColor indexed="64"/>
      </patternFill>
    </fill>
  </fills>
  <borders count="27">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style="medium">
        <color indexed="64"/>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43" fontId="1" fillId="0" borderId="0" applyFont="0" applyFill="0" applyBorder="0" applyAlignment="0" applyProtection="0"/>
  </cellStyleXfs>
  <cellXfs count="141">
    <xf numFmtId="0" fontId="0" fillId="0" borderId="0" xfId="0"/>
    <xf numFmtId="0" fontId="0" fillId="0" borderId="1" xfId="0" applyBorder="1" applyAlignment="1">
      <alignment vertical="top" wrapText="1"/>
    </xf>
    <xf numFmtId="0" fontId="3" fillId="0" borderId="2" xfId="0" applyFont="1" applyBorder="1" applyAlignment="1">
      <alignment horizontal="center" vertical="center" wrapText="1"/>
    </xf>
    <xf numFmtId="0" fontId="0" fillId="0" borderId="0" xfId="0" applyAlignment="1">
      <alignment vertical="center"/>
    </xf>
    <xf numFmtId="0" fontId="3" fillId="0" borderId="0" xfId="0" applyFont="1" applyAlignment="1">
      <alignment vertical="center"/>
    </xf>
    <xf numFmtId="0" fontId="4" fillId="0" borderId="0" xfId="0" applyFont="1"/>
    <xf numFmtId="0" fontId="5" fillId="0" borderId="0" xfId="0" applyFont="1"/>
    <xf numFmtId="0" fontId="1" fillId="0" borderId="0" xfId="1" applyNumberFormat="1"/>
    <xf numFmtId="0" fontId="0" fillId="3" borderId="6" xfId="0" applyFill="1" applyBorder="1" applyAlignment="1">
      <alignment vertical="center"/>
    </xf>
    <xf numFmtId="11" fontId="0" fillId="4" borderId="6" xfId="0" applyNumberFormat="1" applyFill="1" applyBorder="1"/>
    <xf numFmtId="11" fontId="0" fillId="0" borderId="6" xfId="0" applyNumberFormat="1" applyBorder="1" applyAlignment="1">
      <alignment horizontal="center"/>
    </xf>
    <xf numFmtId="166" fontId="1" fillId="0" borderId="0" xfId="1" applyNumberFormat="1"/>
    <xf numFmtId="0" fontId="4" fillId="0" borderId="5" xfId="0" applyFont="1" applyBorder="1" applyAlignment="1">
      <alignment horizontal="left"/>
    </xf>
    <xf numFmtId="0" fontId="8" fillId="0" borderId="6" xfId="0" applyFont="1" applyBorder="1" applyAlignment="1">
      <alignment horizontal="right" vertical="center"/>
    </xf>
    <xf numFmtId="0" fontId="8" fillId="0" borderId="8" xfId="0" applyFont="1" applyBorder="1"/>
    <xf numFmtId="2" fontId="0" fillId="0" borderId="9" xfId="0" applyNumberFormat="1" applyBorder="1" applyAlignment="1">
      <alignment horizontal="center"/>
    </xf>
    <xf numFmtId="167" fontId="1" fillId="0" borderId="0" xfId="1" applyNumberFormat="1"/>
    <xf numFmtId="0" fontId="4" fillId="0" borderId="7" xfId="0" applyFont="1" applyBorder="1" applyAlignment="1">
      <alignment horizontal="center"/>
    </xf>
    <xf numFmtId="0" fontId="4" fillId="0" borderId="5" xfId="0" applyFont="1" applyBorder="1"/>
    <xf numFmtId="0" fontId="0" fillId="0" borderId="0" xfId="0" applyAlignment="1">
      <alignment horizontal="right"/>
    </xf>
    <xf numFmtId="11" fontId="0" fillId="0" borderId="0" xfId="0" applyNumberFormat="1"/>
    <xf numFmtId="0" fontId="4" fillId="0" borderId="6" xfId="0" applyFont="1" applyBorder="1" applyAlignment="1">
      <alignment horizontal="right" vertical="center"/>
    </xf>
    <xf numFmtId="0" fontId="4" fillId="0" borderId="8" xfId="0" applyFont="1" applyBorder="1" applyAlignment="1">
      <alignment horizontal="left"/>
    </xf>
    <xf numFmtId="0" fontId="0" fillId="0" borderId="6" xfId="0" applyBorder="1" applyAlignment="1">
      <alignment horizontal="right" vertical="center"/>
    </xf>
    <xf numFmtId="0" fontId="0" fillId="0" borderId="8" xfId="0" applyBorder="1"/>
    <xf numFmtId="11" fontId="0" fillId="0" borderId="9" xfId="0" applyNumberFormat="1" applyBorder="1" applyAlignment="1">
      <alignment horizontal="center"/>
    </xf>
    <xf numFmtId="0" fontId="10" fillId="2" borderId="6" xfId="0" applyFont="1" applyFill="1" applyBorder="1" applyAlignment="1">
      <alignment horizontal="right" vertical="center"/>
    </xf>
    <xf numFmtId="0" fontId="10" fillId="2" borderId="8" xfId="0" applyFont="1" applyFill="1" applyBorder="1" applyAlignment="1">
      <alignment horizontal="center"/>
    </xf>
    <xf numFmtId="2" fontId="11" fillId="2" borderId="9" xfId="1"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164" fontId="1" fillId="0" borderId="0" xfId="1" applyNumberFormat="1"/>
    <xf numFmtId="0" fontId="0" fillId="0" borderId="0" xfId="0" applyAlignment="1">
      <alignment horizontal="center"/>
    </xf>
    <xf numFmtId="0" fontId="12" fillId="0" borderId="6" xfId="0" applyFont="1" applyFill="1" applyBorder="1" applyAlignment="1">
      <alignment vertical="center"/>
    </xf>
    <xf numFmtId="0" fontId="0" fillId="3" borderId="6" xfId="0" applyFill="1" applyBorder="1"/>
    <xf numFmtId="0" fontId="0" fillId="3" borderId="8" xfId="0" applyFill="1" applyBorder="1" applyAlignment="1">
      <alignment horizontal="center"/>
    </xf>
    <xf numFmtId="0" fontId="0" fillId="0" borderId="6" xfId="0" applyFill="1" applyBorder="1" applyAlignment="1">
      <alignment horizontal="center"/>
    </xf>
    <xf numFmtId="2" fontId="0" fillId="0" borderId="6" xfId="0" applyNumberFormat="1" applyFill="1" applyBorder="1" applyAlignment="1">
      <alignment horizontal="center"/>
    </xf>
    <xf numFmtId="165" fontId="0" fillId="0" borderId="6" xfId="0" applyNumberFormat="1" applyBorder="1" applyAlignment="1">
      <alignment horizontal="center"/>
    </xf>
    <xf numFmtId="2" fontId="0" fillId="0" borderId="6" xfId="0" applyNumberFormat="1" applyBorder="1" applyAlignment="1">
      <alignment horizontal="center"/>
    </xf>
    <xf numFmtId="11" fontId="0" fillId="4" borderId="0" xfId="0" applyNumberFormat="1" applyFill="1"/>
    <xf numFmtId="0" fontId="0" fillId="3" borderId="6" xfId="0" applyFill="1" applyBorder="1" applyAlignment="1">
      <alignment horizontal="center"/>
    </xf>
    <xf numFmtId="0" fontId="13" fillId="3" borderId="6" xfId="0" applyFont="1" applyFill="1" applyBorder="1" applyAlignment="1">
      <alignment horizontal="center" vertical="center"/>
    </xf>
    <xf numFmtId="0" fontId="0" fillId="3" borderId="6" xfId="0" applyFill="1" applyBorder="1" applyAlignment="1">
      <alignment horizontal="center" vertical="center"/>
    </xf>
    <xf numFmtId="0" fontId="0" fillId="0" borderId="6" xfId="0" applyBorder="1" applyAlignment="1">
      <alignment horizontal="center"/>
    </xf>
    <xf numFmtId="11" fontId="14" fillId="0" borderId="0" xfId="0" applyNumberFormat="1" applyFont="1"/>
    <xf numFmtId="0" fontId="14" fillId="0" borderId="0" xfId="0" applyFont="1"/>
    <xf numFmtId="2" fontId="14" fillId="0" borderId="0" xfId="0" applyNumberFormat="1" applyFont="1"/>
    <xf numFmtId="0" fontId="0" fillId="0" borderId="6" xfId="0" applyFill="1" applyBorder="1" applyAlignment="1">
      <alignment horizontal="center" vertical="center"/>
    </xf>
    <xf numFmtId="0" fontId="0" fillId="0" borderId="6" xfId="0" applyBorder="1" applyAlignment="1">
      <alignment horizontal="center" vertical="center"/>
    </xf>
    <xf numFmtId="165" fontId="0" fillId="0" borderId="6" xfId="0" applyNumberFormat="1" applyBorder="1" applyAlignment="1">
      <alignment horizontal="center" vertical="center"/>
    </xf>
    <xf numFmtId="0" fontId="0" fillId="3" borderId="8" xfId="0" applyFill="1" applyBorder="1" applyAlignment="1">
      <alignment horizontal="center" vertical="center"/>
    </xf>
    <xf numFmtId="165" fontId="0" fillId="0" borderId="6" xfId="0" applyNumberFormat="1" applyFill="1" applyBorder="1" applyAlignment="1">
      <alignment horizontal="center"/>
    </xf>
    <xf numFmtId="165" fontId="0" fillId="0" borderId="6" xfId="0" applyNumberFormat="1" applyFill="1" applyBorder="1" applyAlignment="1">
      <alignment horizontal="center" vertical="center"/>
    </xf>
    <xf numFmtId="0" fontId="0" fillId="0" borderId="0" xfId="0" applyFill="1"/>
    <xf numFmtId="0" fontId="0" fillId="0" borderId="0" xfId="0" applyFill="1" applyAlignment="1">
      <alignment horizontal="center"/>
    </xf>
    <xf numFmtId="11" fontId="0" fillId="0" borderId="0" xfId="0" applyNumberFormat="1" applyFill="1" applyAlignment="1">
      <alignment horizontal="center"/>
    </xf>
    <xf numFmtId="165" fontId="0" fillId="0" borderId="0" xfId="0" applyNumberFormat="1" applyAlignment="1">
      <alignment horizontal="center"/>
    </xf>
    <xf numFmtId="0" fontId="12" fillId="0" borderId="0" xfId="0" applyFont="1" applyFill="1" applyAlignment="1">
      <alignment vertical="center"/>
    </xf>
    <xf numFmtId="0" fontId="0" fillId="0" borderId="10" xfId="0" applyBorder="1"/>
    <xf numFmtId="0" fontId="0" fillId="0" borderId="10" xfId="0" applyBorder="1" applyAlignment="1">
      <alignment horizontal="center"/>
    </xf>
    <xf numFmtId="0" fontId="0" fillId="0" borderId="13" xfId="0" applyBorder="1" applyAlignment="1">
      <alignment horizontal="center"/>
    </xf>
    <xf numFmtId="165" fontId="0" fillId="0" borderId="16" xfId="0" applyNumberFormat="1" applyBorder="1" applyAlignment="1">
      <alignment horizontal="center"/>
    </xf>
    <xf numFmtId="165" fontId="0" fillId="0" borderId="17" xfId="0" applyNumberFormat="1" applyBorder="1" applyAlignment="1">
      <alignment horizontal="center"/>
    </xf>
    <xf numFmtId="165" fontId="0" fillId="0" borderId="18" xfId="0" applyNumberFormat="1" applyBorder="1" applyAlignment="1">
      <alignment horizontal="center"/>
    </xf>
    <xf numFmtId="165" fontId="0" fillId="0" borderId="19" xfId="0" applyNumberFormat="1" applyBorder="1" applyAlignment="1">
      <alignment horizontal="center"/>
    </xf>
    <xf numFmtId="165" fontId="0" fillId="0" borderId="20" xfId="0" applyNumberFormat="1" applyBorder="1" applyAlignment="1">
      <alignment horizontal="center"/>
    </xf>
    <xf numFmtId="165" fontId="0" fillId="0" borderId="12" xfId="0" applyNumberFormat="1" applyBorder="1" applyAlignment="1">
      <alignment horizontal="center"/>
    </xf>
    <xf numFmtId="165" fontId="0" fillId="0" borderId="13" xfId="0" applyNumberFormat="1" applyBorder="1" applyAlignment="1">
      <alignment horizontal="center"/>
    </xf>
    <xf numFmtId="1" fontId="4" fillId="6" borderId="7" xfId="0" applyNumberFormat="1" applyFont="1" applyFill="1" applyBorder="1" applyAlignment="1">
      <alignment horizontal="center"/>
    </xf>
    <xf numFmtId="0" fontId="0" fillId="7" borderId="21" xfId="0" applyFill="1" applyBorder="1"/>
    <xf numFmtId="0" fontId="4" fillId="7" borderId="5" xfId="0" applyFont="1" applyFill="1" applyBorder="1" applyAlignment="1">
      <alignment horizontal="center"/>
    </xf>
    <xf numFmtId="0" fontId="15" fillId="0" borderId="0" xfId="0" applyFont="1"/>
    <xf numFmtId="11" fontId="15" fillId="0" borderId="0" xfId="0" applyNumberFormat="1" applyFont="1" applyBorder="1"/>
    <xf numFmtId="0" fontId="15" fillId="0" borderId="0" xfId="0" applyFont="1" applyBorder="1"/>
    <xf numFmtId="0" fontId="16" fillId="0" borderId="0" xfId="0" applyFont="1" applyBorder="1" applyAlignment="1">
      <alignment horizontal="center" vertical="center" wrapText="1"/>
    </xf>
    <xf numFmtId="0" fontId="17" fillId="0" borderId="0" xfId="0" applyFont="1" applyBorder="1" applyAlignment="1">
      <alignment horizontal="center" vertical="center" wrapText="1"/>
    </xf>
    <xf numFmtId="0" fontId="18" fillId="0" borderId="0" xfId="0" applyFont="1" applyBorder="1" applyAlignment="1">
      <alignment horizontal="center" vertical="center" wrapText="1"/>
    </xf>
    <xf numFmtId="0" fontId="19" fillId="0" borderId="0" xfId="0" applyFont="1" applyBorder="1" applyAlignment="1">
      <alignment horizontal="center" vertical="center" wrapText="1"/>
    </xf>
    <xf numFmtId="11" fontId="19" fillId="0" borderId="0" xfId="0" applyNumberFormat="1" applyFont="1" applyBorder="1" applyAlignment="1">
      <alignment horizontal="center" vertical="center" wrapText="1"/>
    </xf>
    <xf numFmtId="0" fontId="0" fillId="0" borderId="0" xfId="0" applyFill="1" applyBorder="1" applyAlignment="1">
      <alignment horizontal="center"/>
    </xf>
    <xf numFmtId="0" fontId="0" fillId="0" borderId="0" xfId="0" quotePrefix="1"/>
    <xf numFmtId="0" fontId="0" fillId="0" borderId="14" xfId="0" applyBorder="1" applyAlignment="1">
      <alignment horizontal="center" wrapText="1"/>
    </xf>
    <xf numFmtId="165" fontId="20" fillId="0" borderId="6" xfId="0" applyNumberFormat="1" applyFont="1" applyBorder="1" applyAlignment="1">
      <alignment horizontal="center"/>
    </xf>
    <xf numFmtId="165" fontId="20" fillId="0" borderId="20" xfId="0" applyNumberFormat="1" applyFont="1" applyBorder="1" applyAlignment="1">
      <alignment horizontal="center"/>
    </xf>
    <xf numFmtId="165" fontId="20" fillId="0" borderId="13" xfId="0" applyNumberFormat="1" applyFont="1" applyBorder="1" applyAlignment="1">
      <alignment horizontal="center"/>
    </xf>
    <xf numFmtId="165" fontId="20" fillId="0" borderId="14" xfId="0" applyNumberFormat="1" applyFont="1" applyBorder="1" applyAlignment="1">
      <alignment horizontal="center"/>
    </xf>
    <xf numFmtId="0" fontId="0" fillId="0" borderId="12" xfId="0" applyBorder="1" applyAlignment="1">
      <alignment horizontal="center" wrapText="1"/>
    </xf>
    <xf numFmtId="1" fontId="0" fillId="0" borderId="6" xfId="0" applyNumberFormat="1" applyFill="1" applyBorder="1" applyAlignment="1">
      <alignment horizontal="center"/>
    </xf>
    <xf numFmtId="1" fontId="0" fillId="0" borderId="6" xfId="3" applyNumberFormat="1" applyFont="1" applyFill="1" applyBorder="1" applyAlignment="1">
      <alignment horizontal="center"/>
    </xf>
    <xf numFmtId="169" fontId="0" fillId="0" borderId="6" xfId="0" applyNumberFormat="1" applyFill="1" applyBorder="1" applyAlignment="1">
      <alignment horizontal="center"/>
    </xf>
    <xf numFmtId="2" fontId="4" fillId="0" borderId="9" xfId="0" applyNumberFormat="1" applyFont="1" applyBorder="1" applyAlignment="1">
      <alignment horizontal="center"/>
    </xf>
    <xf numFmtId="11" fontId="0" fillId="0" borderId="0" xfId="0" applyNumberFormat="1" applyFill="1"/>
    <xf numFmtId="0" fontId="24" fillId="0" borderId="7" xfId="0" applyFont="1" applyBorder="1" applyAlignment="1">
      <alignment horizontal="center"/>
    </xf>
    <xf numFmtId="1" fontId="0" fillId="8" borderId="0" xfId="0" applyNumberFormat="1" applyFill="1" applyAlignment="1">
      <alignment horizontal="center"/>
    </xf>
    <xf numFmtId="0" fontId="12" fillId="0" borderId="3" xfId="0" applyFont="1" applyFill="1" applyBorder="1" applyAlignment="1">
      <alignment vertical="center"/>
    </xf>
    <xf numFmtId="0" fontId="6" fillId="3" borderId="23" xfId="0" applyFont="1" applyFill="1" applyBorder="1" applyAlignment="1">
      <alignment horizontal="center" vertical="center"/>
    </xf>
    <xf numFmtId="0" fontId="6" fillId="3" borderId="23" xfId="0" applyFont="1" applyFill="1" applyBorder="1" applyAlignment="1">
      <alignment horizontal="center" vertical="center" wrapText="1"/>
    </xf>
    <xf numFmtId="0" fontId="7" fillId="3" borderId="23" xfId="0" applyFont="1" applyFill="1" applyBorder="1" applyAlignment="1">
      <alignment horizontal="center" vertical="center"/>
    </xf>
    <xf numFmtId="0" fontId="26" fillId="0" borderId="0" xfId="0" applyFont="1" applyFill="1" applyBorder="1" applyAlignment="1">
      <alignment horizontal="center" vertical="center" wrapText="1"/>
    </xf>
    <xf numFmtId="0" fontId="26" fillId="0" borderId="0" xfId="0" applyFont="1" applyFill="1" applyBorder="1" applyAlignment="1">
      <alignment vertical="center" wrapText="1"/>
    </xf>
    <xf numFmtId="167" fontId="0" fillId="0" borderId="6" xfId="0" applyNumberFormat="1" applyBorder="1" applyAlignment="1">
      <alignment horizontal="center"/>
    </xf>
    <xf numFmtId="167" fontId="0" fillId="0" borderId="0" xfId="0" applyNumberFormat="1" applyFill="1"/>
    <xf numFmtId="0" fontId="0" fillId="0" borderId="8" xfId="0" applyFill="1" applyBorder="1" applyAlignment="1">
      <alignment horizontal="center"/>
    </xf>
    <xf numFmtId="0" fontId="0" fillId="0" borderId="22" xfId="0" applyFill="1" applyBorder="1" applyAlignment="1">
      <alignment horizontal="center"/>
    </xf>
    <xf numFmtId="0" fontId="0" fillId="0" borderId="9" xfId="0" applyFill="1" applyBorder="1" applyAlignment="1">
      <alignment horizontal="center"/>
    </xf>
    <xf numFmtId="170" fontId="0" fillId="0" borderId="6" xfId="3" applyNumberFormat="1" applyFont="1" applyFill="1" applyBorder="1" applyAlignment="1">
      <alignment horizontal="center"/>
    </xf>
    <xf numFmtId="170" fontId="0" fillId="0" borderId="6" xfId="3" applyNumberFormat="1" applyFont="1" applyBorder="1" applyAlignment="1">
      <alignment horizontal="center"/>
    </xf>
    <xf numFmtId="170" fontId="0" fillId="0" borderId="6" xfId="3" applyNumberFormat="1" applyFont="1" applyFill="1" applyBorder="1" applyAlignment="1">
      <alignment horizontal="center" vertical="center"/>
    </xf>
    <xf numFmtId="0" fontId="4" fillId="0" borderId="0" xfId="0" applyFont="1" applyFill="1"/>
    <xf numFmtId="0" fontId="0" fillId="0" borderId="0" xfId="0" quotePrefix="1" applyFill="1"/>
    <xf numFmtId="0" fontId="0" fillId="3" borderId="8" xfId="0" applyFill="1" applyBorder="1" applyAlignment="1">
      <alignment horizontal="left"/>
    </xf>
    <xf numFmtId="0" fontId="0" fillId="3" borderId="8" xfId="0" applyFill="1" applyBorder="1" applyAlignment="1">
      <alignment horizontal="left" vertical="center"/>
    </xf>
    <xf numFmtId="0" fontId="13" fillId="3" borderId="3" xfId="0" applyFont="1" applyFill="1" applyBorder="1" applyAlignment="1">
      <alignment horizontal="center" vertical="center"/>
    </xf>
    <xf numFmtId="0" fontId="13" fillId="3" borderId="3" xfId="0" applyFont="1" applyFill="1" applyBorder="1" applyAlignment="1">
      <alignment horizontal="center" vertical="center" wrapText="1"/>
    </xf>
    <xf numFmtId="0" fontId="27" fillId="3" borderId="3" xfId="0" applyFont="1" applyFill="1" applyBorder="1" applyAlignment="1">
      <alignment horizontal="center" vertical="center"/>
    </xf>
    <xf numFmtId="0" fontId="28" fillId="3" borderId="3" xfId="0" applyFont="1" applyFill="1" applyBorder="1" applyAlignment="1">
      <alignment horizontal="center" vertical="center"/>
    </xf>
    <xf numFmtId="0" fontId="28" fillId="3" borderId="3" xfId="0" applyFont="1" applyFill="1" applyBorder="1" applyAlignment="1">
      <alignment horizontal="center"/>
    </xf>
    <xf numFmtId="0" fontId="13" fillId="3" borderId="3" xfId="0" applyFont="1" applyFill="1" applyBorder="1" applyAlignment="1">
      <alignment horizontal="center"/>
    </xf>
    <xf numFmtId="171" fontId="0" fillId="0" borderId="6" xfId="0" applyNumberFormat="1" applyFill="1" applyBorder="1" applyAlignment="1">
      <alignment horizontal="center"/>
    </xf>
    <xf numFmtId="0" fontId="0" fillId="0" borderId="0" xfId="0" applyAlignment="1">
      <alignment horizontal="left" wrapText="1"/>
    </xf>
    <xf numFmtId="0" fontId="26" fillId="0" borderId="0" xfId="0"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4" fillId="0" borderId="4" xfId="0" applyFont="1" applyFill="1" applyBorder="1" applyAlignment="1">
      <alignment horizontal="right"/>
    </xf>
    <xf numFmtId="0" fontId="4" fillId="7" borderId="4" xfId="0" applyFont="1" applyFill="1" applyBorder="1" applyAlignment="1">
      <alignment horizontal="right"/>
    </xf>
    <xf numFmtId="0" fontId="4" fillId="0" borderId="5" xfId="0" applyFont="1" applyFill="1" applyBorder="1" applyAlignment="1">
      <alignment horizontal="center"/>
    </xf>
    <xf numFmtId="0" fontId="13" fillId="3" borderId="2" xfId="0" applyFont="1" applyFill="1" applyBorder="1" applyAlignment="1">
      <alignment horizontal="center" vertical="center"/>
    </xf>
    <xf numFmtId="0" fontId="0" fillId="0" borderId="8" xfId="0" applyFill="1" applyBorder="1" applyAlignment="1">
      <alignment horizontal="center"/>
    </xf>
    <xf numFmtId="0" fontId="0" fillId="0" borderId="22" xfId="0" applyFill="1" applyBorder="1" applyAlignment="1">
      <alignment horizontal="center"/>
    </xf>
    <xf numFmtId="0" fontId="0" fillId="0" borderId="9" xfId="0" applyFill="1" applyBorder="1" applyAlignment="1">
      <alignment horizontal="center"/>
    </xf>
    <xf numFmtId="168" fontId="0" fillId="0" borderId="8" xfId="0" applyNumberFormat="1" applyFill="1" applyBorder="1" applyAlignment="1">
      <alignment horizontal="center"/>
    </xf>
    <xf numFmtId="168" fontId="0" fillId="0" borderId="22" xfId="0" applyNumberFormat="1" applyFill="1" applyBorder="1" applyAlignment="1">
      <alignment horizontal="center"/>
    </xf>
    <xf numFmtId="168" fontId="0" fillId="0" borderId="9" xfId="0" applyNumberFormat="1" applyFill="1" applyBorder="1" applyAlignment="1">
      <alignment horizontal="center"/>
    </xf>
    <xf numFmtId="0" fontId="13" fillId="3" borderId="15" xfId="0" applyFont="1" applyFill="1" applyBorder="1" applyAlignment="1">
      <alignment horizontal="center" vertical="center" wrapText="1"/>
    </xf>
    <xf numFmtId="0" fontId="4" fillId="5" borderId="11" xfId="0" applyFont="1" applyFill="1" applyBorder="1" applyAlignment="1">
      <alignment horizontal="center"/>
    </xf>
    <xf numFmtId="0" fontId="0" fillId="0" borderId="10" xfId="0" applyFill="1" applyBorder="1"/>
    <xf numFmtId="0" fontId="13" fillId="3" borderId="8"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9" xfId="0" applyFont="1" applyFill="1" applyBorder="1" applyAlignment="1">
      <alignment horizontal="center" vertical="center"/>
    </xf>
  </cellXfs>
  <cellStyles count="4">
    <cellStyle name="Avertissement" xfId="2" builtinId="11" customBuiltin="1"/>
    <cellStyle name="Milliers" xfId="3" builtinId="3"/>
    <cellStyle name="Normal" xfId="0" builtinId="0" customBuiltin="1"/>
    <cellStyle name="Pourcentage" xfId="1" builtinId="5" customBuiltin="1"/>
  </cellStyles>
  <dxfs count="3">
    <dxf>
      <fill>
        <patternFill>
          <bgColor rgb="FFFF0000"/>
        </patternFill>
      </fill>
    </dxf>
    <dxf>
      <fill>
        <patternFill patternType="none">
          <bgColor auto="1"/>
        </patternFill>
      </fill>
    </dxf>
    <dxf>
      <fill>
        <patternFill>
          <bgColor rgb="FFFF0000"/>
        </patternFill>
      </fill>
    </dxf>
  </dxfs>
  <tableStyles count="0" defaultTableStyle="TableStyleMedium2" defaultPivotStyle="PivotStyleLight16"/>
  <colors>
    <mruColors>
      <color rgb="FF99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9525</xdr:rowOff>
    </xdr:from>
    <xdr:ext cx="539998" cy="539998"/>
    <xdr:pic>
      <xdr:nvPicPr>
        <xdr:cNvPr id="2" name="Picture 15" descr="IEC logo"/>
        <xdr:cNvPicPr>
          <a:picLocks noChangeAspect="1"/>
        </xdr:cNvPicPr>
      </xdr:nvPicPr>
      <xdr:blipFill>
        <a:blip xmlns:r="http://schemas.openxmlformats.org/officeDocument/2006/relationships" r:embed="rId1"/>
        <a:srcRect/>
        <a:stretch>
          <a:fillRect/>
        </a:stretch>
      </xdr:blipFill>
      <xdr:spPr>
        <a:xfrm>
          <a:off x="428625" y="180975"/>
          <a:ext cx="539998" cy="539998"/>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1</xdr:row>
      <xdr:rowOff>0</xdr:rowOff>
    </xdr:from>
    <xdr:ext cx="539998" cy="539998"/>
    <xdr:pic>
      <xdr:nvPicPr>
        <xdr:cNvPr id="3" name="Picture 15" descr="IEC logo"/>
        <xdr:cNvPicPr>
          <a:picLocks noChangeAspect="1"/>
        </xdr:cNvPicPr>
      </xdr:nvPicPr>
      <xdr:blipFill>
        <a:blip xmlns:r="http://schemas.openxmlformats.org/officeDocument/2006/relationships" r:embed="rId1"/>
        <a:srcRect/>
        <a:stretch>
          <a:fillRect/>
        </a:stretch>
      </xdr:blipFill>
      <xdr:spPr>
        <a:xfrm>
          <a:off x="771525" y="161925"/>
          <a:ext cx="539998" cy="539998"/>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1</xdr:row>
      <xdr:rowOff>9525</xdr:rowOff>
    </xdr:from>
    <xdr:ext cx="539998" cy="539998"/>
    <xdr:pic>
      <xdr:nvPicPr>
        <xdr:cNvPr id="3" name="Picture 15" descr="IEC logo"/>
        <xdr:cNvPicPr>
          <a:picLocks noChangeAspect="1"/>
        </xdr:cNvPicPr>
      </xdr:nvPicPr>
      <xdr:blipFill>
        <a:blip xmlns:r="http://schemas.openxmlformats.org/officeDocument/2006/relationships" r:embed="rId1"/>
        <a:srcRect/>
        <a:stretch>
          <a:fillRect/>
        </a:stretch>
      </xdr:blipFill>
      <xdr:spPr>
        <a:xfrm>
          <a:off x="495300" y="180975"/>
          <a:ext cx="539998" cy="539998"/>
        </a:xfrm>
        <a:prstGeom prst="rect">
          <a:avLst/>
        </a:prstGeom>
        <a:noFill/>
        <a:ln>
          <a:noFill/>
        </a:ln>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45"/>
  <sheetViews>
    <sheetView tabSelected="1" workbookViewId="0"/>
  </sheetViews>
  <sheetFormatPr baseColWidth="10" defaultColWidth="11.42578125" defaultRowHeight="12.75" x14ac:dyDescent="0.2"/>
  <cols>
    <col min="1" max="1" width="6.42578125" customWidth="1"/>
    <col min="2" max="2" width="62.85546875" customWidth="1"/>
    <col min="3" max="3" width="34.28515625" customWidth="1"/>
    <col min="4" max="4" width="11.42578125" customWidth="1"/>
  </cols>
  <sheetData>
    <row r="1" spans="1:3" ht="13.5" thickBot="1" x14ac:dyDescent="0.25"/>
    <row r="2" spans="1:3" ht="51" customHeight="1" thickBot="1" x14ac:dyDescent="0.25">
      <c r="B2" s="1"/>
      <c r="C2" s="2" t="s">
        <v>0</v>
      </c>
    </row>
    <row r="3" spans="1:3" x14ac:dyDescent="0.2">
      <c r="B3" s="3"/>
    </row>
    <row r="4" spans="1:3" ht="15" x14ac:dyDescent="0.2">
      <c r="B4" s="4" t="s">
        <v>1</v>
      </c>
    </row>
    <row r="8" spans="1:3" x14ac:dyDescent="0.2">
      <c r="A8" s="5">
        <v>1</v>
      </c>
      <c r="B8" s="5" t="s">
        <v>2</v>
      </c>
    </row>
    <row r="9" spans="1:3" x14ac:dyDescent="0.2">
      <c r="B9" t="s">
        <v>99</v>
      </c>
    </row>
    <row r="10" spans="1:3" x14ac:dyDescent="0.2">
      <c r="B10" t="s">
        <v>3</v>
      </c>
    </row>
    <row r="12" spans="1:3" x14ac:dyDescent="0.2">
      <c r="A12" s="5">
        <v>2</v>
      </c>
      <c r="B12" s="5" t="s">
        <v>4</v>
      </c>
    </row>
    <row r="13" spans="1:3" x14ac:dyDescent="0.2">
      <c r="B13" t="s">
        <v>5</v>
      </c>
    </row>
    <row r="14" spans="1:3" x14ac:dyDescent="0.2">
      <c r="B14" s="6" t="s">
        <v>6</v>
      </c>
    </row>
    <row r="15" spans="1:3" x14ac:dyDescent="0.2">
      <c r="B15" t="s">
        <v>100</v>
      </c>
    </row>
    <row r="16" spans="1:3" x14ac:dyDescent="0.2">
      <c r="B16" s="6" t="s">
        <v>7</v>
      </c>
    </row>
    <row r="17" spans="1:2" x14ac:dyDescent="0.2">
      <c r="B17" t="s">
        <v>101</v>
      </c>
    </row>
    <row r="18" spans="1:2" x14ac:dyDescent="0.2">
      <c r="B18" t="s">
        <v>102</v>
      </c>
    </row>
    <row r="19" spans="1:2" x14ac:dyDescent="0.2">
      <c r="B19" s="6" t="s">
        <v>8</v>
      </c>
    </row>
    <row r="20" spans="1:2" x14ac:dyDescent="0.2">
      <c r="B20" t="s">
        <v>103</v>
      </c>
    </row>
    <row r="21" spans="1:2" x14ac:dyDescent="0.2">
      <c r="B21" s="5" t="s">
        <v>147</v>
      </c>
    </row>
    <row r="23" spans="1:2" x14ac:dyDescent="0.2">
      <c r="A23" s="5">
        <v>3</v>
      </c>
      <c r="B23" s="5" t="s">
        <v>9</v>
      </c>
    </row>
    <row r="24" spans="1:2" x14ac:dyDescent="0.2">
      <c r="B24" t="s">
        <v>104</v>
      </c>
    </row>
    <row r="25" spans="1:2" x14ac:dyDescent="0.2">
      <c r="B25" t="s">
        <v>105</v>
      </c>
    </row>
    <row r="26" spans="1:2" x14ac:dyDescent="0.2">
      <c r="B26" t="s">
        <v>106</v>
      </c>
    </row>
    <row r="27" spans="1:2" x14ac:dyDescent="0.2">
      <c r="B27" t="s">
        <v>107</v>
      </c>
    </row>
    <row r="28" spans="1:2" x14ac:dyDescent="0.2">
      <c r="B28" t="s">
        <v>108</v>
      </c>
    </row>
    <row r="29" spans="1:2" x14ac:dyDescent="0.2">
      <c r="B29" t="s">
        <v>109</v>
      </c>
    </row>
    <row r="30" spans="1:2" x14ac:dyDescent="0.2">
      <c r="B30" t="s">
        <v>110</v>
      </c>
    </row>
    <row r="31" spans="1:2" x14ac:dyDescent="0.2">
      <c r="B31" t="s">
        <v>111</v>
      </c>
    </row>
    <row r="32" spans="1:2" x14ac:dyDescent="0.2">
      <c r="B32" t="s">
        <v>112</v>
      </c>
    </row>
    <row r="34" spans="1:3" x14ac:dyDescent="0.2">
      <c r="A34" s="5">
        <v>4</v>
      </c>
      <c r="B34" s="5" t="s">
        <v>10</v>
      </c>
    </row>
    <row r="35" spans="1:3" x14ac:dyDescent="0.2">
      <c r="A35" s="5"/>
      <c r="B35" t="s">
        <v>145</v>
      </c>
    </row>
    <row r="36" spans="1:3" x14ac:dyDescent="0.2">
      <c r="A36" s="5"/>
      <c r="B36" t="s">
        <v>11</v>
      </c>
    </row>
    <row r="37" spans="1:3" x14ac:dyDescent="0.2">
      <c r="A37" s="5"/>
      <c r="B37" s="81" t="s">
        <v>143</v>
      </c>
    </row>
    <row r="38" spans="1:3" s="54" customFormat="1" x14ac:dyDescent="0.2">
      <c r="A38" s="109"/>
      <c r="B38" s="110" t="s">
        <v>113</v>
      </c>
    </row>
    <row r="39" spans="1:3" x14ac:dyDescent="0.2">
      <c r="A39" s="5"/>
      <c r="B39" s="81" t="s">
        <v>114</v>
      </c>
    </row>
    <row r="40" spans="1:3" x14ac:dyDescent="0.2">
      <c r="A40" s="5"/>
      <c r="B40" s="81" t="s">
        <v>80</v>
      </c>
    </row>
    <row r="41" spans="1:3" x14ac:dyDescent="0.2">
      <c r="A41" s="5"/>
    </row>
    <row r="42" spans="1:3" x14ac:dyDescent="0.2">
      <c r="A42" s="5">
        <v>5</v>
      </c>
      <c r="B42" s="5" t="s">
        <v>12</v>
      </c>
    </row>
    <row r="43" spans="1:3" ht="42" customHeight="1" x14ac:dyDescent="0.2">
      <c r="B43" s="120" t="s">
        <v>115</v>
      </c>
      <c r="C43" s="120"/>
    </row>
    <row r="45" spans="1:3" ht="39.75" customHeight="1" x14ac:dyDescent="0.2"/>
  </sheetData>
  <mergeCells count="1">
    <mergeCell ref="B43:C43"/>
  </mergeCells>
  <pageMargins left="0.23622047244094491" right="0.23622047244094491" top="2.1259842519685042" bottom="0.74803149606299213" header="0.31496062992125984" footer="0.31496062992125984"/>
  <pageSetup paperSize="9" scale="88" fitToWidth="0" fitToHeight="0" orientation="portrait" r:id="rId1"/>
  <headerFooter>
    <oddHeader>&amp;C&amp;F</oddHeader>
    <oddFooter>&amp;CIEC 61282-14 Supplemental Data for Section 8</oddFooter>
    <evenHeader>&amp;C&amp;F</evenHeader>
    <evenFooter>&amp;CIEC 61282-14 Supplemental Data for Section 8</evenFooter>
    <firstHeader>&amp;C&amp;F</firstHeader>
    <firstFooter>&amp;CIEC 61282-14 Supplemental Data for Section 8</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B1:P43"/>
  <sheetViews>
    <sheetView topLeftCell="A14" workbookViewId="0">
      <selection activeCell="D10" sqref="D10"/>
    </sheetView>
  </sheetViews>
  <sheetFormatPr baseColWidth="10" defaultColWidth="11.42578125" defaultRowHeight="12.75" x14ac:dyDescent="0.2"/>
  <cols>
    <col min="1" max="1" width="11.42578125" customWidth="1"/>
    <col min="2" max="2" width="80.5703125" customWidth="1"/>
    <col min="3" max="4" width="12.140625" customWidth="1"/>
    <col min="5" max="5" width="4.7109375" customWidth="1"/>
    <col min="6" max="6" width="13.140625" customWidth="1"/>
    <col min="7" max="7" width="6" customWidth="1"/>
    <col min="8" max="8" width="6.5703125" customWidth="1"/>
    <col min="9" max="9" width="11.42578125" customWidth="1"/>
    <col min="10" max="10" width="4.85546875" customWidth="1"/>
    <col min="11" max="12" width="11.42578125" customWidth="1"/>
  </cols>
  <sheetData>
    <row r="1" spans="2:16" ht="13.5" thickBot="1" x14ac:dyDescent="0.25"/>
    <row r="2" spans="2:16" ht="37.5" customHeight="1" thickBot="1" x14ac:dyDescent="0.25">
      <c r="B2" s="121" t="s">
        <v>88</v>
      </c>
      <c r="C2" s="121"/>
      <c r="D2" s="121"/>
      <c r="E2" s="121"/>
      <c r="F2" s="121"/>
      <c r="G2" s="100"/>
      <c r="H2" s="100"/>
      <c r="I2" s="122" t="s">
        <v>0</v>
      </c>
      <c r="J2" s="123"/>
      <c r="K2" s="123"/>
      <c r="L2" s="124"/>
    </row>
    <row r="3" spans="2:16" ht="12.75" customHeight="1" thickBot="1" x14ac:dyDescent="0.25">
      <c r="B3" s="99"/>
      <c r="C3" s="99"/>
      <c r="D3" s="99"/>
      <c r="E3" s="99"/>
      <c r="F3" s="99"/>
      <c r="G3" s="99"/>
      <c r="H3" s="99"/>
      <c r="I3" s="99"/>
      <c r="J3" s="99"/>
      <c r="K3" s="99"/>
      <c r="L3" s="99"/>
    </row>
    <row r="4" spans="2:16" ht="13.5" thickBot="1" x14ac:dyDescent="0.25">
      <c r="F4" s="128" t="s">
        <v>13</v>
      </c>
      <c r="G4" s="128"/>
      <c r="H4" s="128"/>
      <c r="I4" s="128"/>
      <c r="J4" s="128"/>
      <c r="K4" s="128"/>
    </row>
    <row r="5" spans="2:16" ht="15.75" customHeight="1" thickBot="1" x14ac:dyDescent="0.3">
      <c r="C5" s="117" t="s">
        <v>137</v>
      </c>
      <c r="D5" s="118" t="s">
        <v>138</v>
      </c>
      <c r="F5" s="125" t="s">
        <v>14</v>
      </c>
      <c r="G5" s="125"/>
      <c r="H5" s="125"/>
      <c r="I5" s="125"/>
      <c r="J5" s="127" t="s">
        <v>144</v>
      </c>
      <c r="K5" s="127"/>
      <c r="M5" s="7"/>
    </row>
    <row r="6" spans="2:16" ht="15.75" customHeight="1" thickBot="1" x14ac:dyDescent="0.25">
      <c r="B6" s="8" t="str">
        <f>B16</f>
        <v>Uncertainties due to measuring instruments</v>
      </c>
      <c r="C6" s="9">
        <f>K28</f>
        <v>1.7407017929333846</v>
      </c>
      <c r="D6" s="10">
        <f>C6^2</f>
        <v>3.0300427319214998</v>
      </c>
      <c r="F6" s="125" t="s">
        <v>15</v>
      </c>
      <c r="G6" s="125"/>
      <c r="H6" s="125"/>
      <c r="I6" s="125"/>
      <c r="J6" s="127" t="s">
        <v>95</v>
      </c>
      <c r="K6" s="127"/>
      <c r="M6" s="11"/>
    </row>
    <row r="7" spans="2:16" ht="15.75" customHeight="1" thickBot="1" x14ac:dyDescent="0.25">
      <c r="B7" s="8" t="str">
        <f>B29</f>
        <v>Relative uncertainty due to the setup</v>
      </c>
      <c r="C7" s="9">
        <f>K34</f>
        <v>0</v>
      </c>
      <c r="D7" s="10">
        <f>C7^2</f>
        <v>0</v>
      </c>
      <c r="F7" s="125" t="s">
        <v>16</v>
      </c>
      <c r="G7" s="125"/>
      <c r="H7" s="125"/>
      <c r="I7" s="125"/>
      <c r="J7" s="127">
        <v>1</v>
      </c>
      <c r="K7" s="127"/>
      <c r="M7" s="11"/>
    </row>
    <row r="8" spans="2:16" ht="15.75" customHeight="1" thickBot="1" x14ac:dyDescent="0.25">
      <c r="B8" s="8" t="str">
        <f>B35</f>
        <v>Relative uncertainties due to cabling</v>
      </c>
      <c r="C8" s="9">
        <f>K40</f>
        <v>2.0992860730892939</v>
      </c>
      <c r="D8" s="10">
        <f>C8^2</f>
        <v>4.4070020166666684</v>
      </c>
      <c r="F8" s="125" t="s">
        <v>17</v>
      </c>
      <c r="G8" s="125"/>
      <c r="H8" s="125"/>
      <c r="I8" s="125"/>
      <c r="J8" s="69">
        <v>1550</v>
      </c>
      <c r="K8" s="12" t="s">
        <v>18</v>
      </c>
      <c r="P8" s="11"/>
    </row>
    <row r="9" spans="2:16" ht="15.75" customHeight="1" thickBot="1" x14ac:dyDescent="0.25">
      <c r="B9" s="13" t="s">
        <v>146</v>
      </c>
      <c r="C9" s="14"/>
      <c r="D9" s="15">
        <f>SQRT((D6)+(D7)+(D8))</f>
        <v>2.7270945617246514</v>
      </c>
      <c r="E9" s="16"/>
      <c r="F9" s="125" t="s">
        <v>19</v>
      </c>
      <c r="G9" s="125"/>
      <c r="H9" s="125"/>
      <c r="I9" s="125"/>
      <c r="J9" s="93">
        <v>30</v>
      </c>
      <c r="K9" s="18" t="s">
        <v>18</v>
      </c>
      <c r="L9" s="19"/>
      <c r="M9" s="20"/>
      <c r="P9" s="11"/>
    </row>
    <row r="10" spans="2:16" ht="15.75" customHeight="1" thickBot="1" x14ac:dyDescent="0.25">
      <c r="B10" s="21" t="s">
        <v>97</v>
      </c>
      <c r="C10" s="22"/>
      <c r="D10" s="91">
        <f>IF(L43&gt;49,2,IF(ROUNDDOWN(L43,0)-L43=0,TINV(0.05,L43),(L43-ROUNDDOWN(L43,0))*(TINV(0.05,ROUNDUP(L43,0))-TINV(0.05,ROUNDDOWN(L43,0)))/(ROUNDUP(L43,0)-ROUNDDOWN(L43,0))+TINV(0.05,ROUNDDOWN(L43,0))))</f>
        <v>2</v>
      </c>
      <c r="F10" s="125" t="s">
        <v>20</v>
      </c>
      <c r="G10" s="125"/>
      <c r="H10" s="125"/>
      <c r="I10" s="125"/>
      <c r="J10" s="17">
        <v>5</v>
      </c>
      <c r="K10" s="18" t="s">
        <v>21</v>
      </c>
      <c r="L10" s="19"/>
      <c r="M10" s="20"/>
      <c r="P10" s="11"/>
    </row>
    <row r="11" spans="2:16" ht="15.75" customHeight="1" thickBot="1" x14ac:dyDescent="0.25">
      <c r="B11" s="23" t="s">
        <v>22</v>
      </c>
      <c r="C11" s="24"/>
      <c r="D11" s="25">
        <f>D10*D9</f>
        <v>5.4541891234493027</v>
      </c>
      <c r="E11" s="16"/>
      <c r="F11" s="125" t="s">
        <v>142</v>
      </c>
      <c r="G11" s="125"/>
      <c r="H11" s="125"/>
      <c r="I11" s="125"/>
      <c r="J11" s="17">
        <v>10</v>
      </c>
      <c r="K11" s="18" t="s">
        <v>78</v>
      </c>
      <c r="L11" s="19"/>
      <c r="M11" s="20"/>
      <c r="N11" s="20"/>
      <c r="O11" s="20"/>
      <c r="P11" s="11"/>
    </row>
    <row r="12" spans="2:16" ht="15.75" customHeight="1" thickBot="1" x14ac:dyDescent="0.25">
      <c r="B12" s="26" t="s">
        <v>141</v>
      </c>
      <c r="C12" s="27" t="s">
        <v>25</v>
      </c>
      <c r="D12" s="28">
        <f>IF(K13="Yes",D11,"NA")</f>
        <v>5.4541891234493027</v>
      </c>
      <c r="F12" s="125" t="s">
        <v>23</v>
      </c>
      <c r="G12" s="125"/>
      <c r="H12" s="125"/>
      <c r="I12" s="125"/>
      <c r="J12" s="17">
        <v>-10</v>
      </c>
      <c r="K12" s="18" t="s">
        <v>24</v>
      </c>
      <c r="M12" s="54"/>
      <c r="P12" s="11"/>
    </row>
    <row r="13" spans="2:16" ht="15.75" customHeight="1" thickBot="1" x14ac:dyDescent="0.25">
      <c r="C13" s="29" t="s">
        <v>21</v>
      </c>
      <c r="D13" s="30">
        <f>IF(K13="yes",0.0434*D12,"NA")</f>
        <v>0.23671180795769975</v>
      </c>
      <c r="E13" s="5"/>
      <c r="F13" s="126" t="s">
        <v>62</v>
      </c>
      <c r="G13" s="126"/>
      <c r="H13" s="126"/>
      <c r="I13" s="126"/>
      <c r="J13" s="70"/>
      <c r="K13" s="71" t="str">
        <f>IF(OR(Uncertainties_estimation!J5="SM-1 cord",Uncertainties_estimation!J5="SM-2 cords",Uncertainties_estimation!J5="SM-3 cords",Uncertainties_estimation!J5="14763-3 SM Ch.",Uncertainties_estimation!J5="14763-3 SM Link"),IF(AND(Uncertainties_estimation!J8&gt;=1285,Uncertainties_estimation!J8&lt;=1675,Uncertainties_estimation!J10&gt;0.25*Uncertainties_estimation!J11),"Yes","No"), IF(AND(Uncertainties_estimation!J8&gt;=850,Uncertainties_estimation!J8&lt;=1350,Uncertainties_estimation!J6="PC",Uncertainties_estimation!J10&gt;0.4*Uncertainties_estimation!J11),"Yes","No"))</f>
        <v>Yes</v>
      </c>
      <c r="L13" s="20"/>
      <c r="M13" s="20"/>
      <c r="N13" s="20"/>
      <c r="P13" s="31"/>
    </row>
    <row r="14" spans="2:16" x14ac:dyDescent="0.2">
      <c r="D14" s="30"/>
      <c r="F14" t="s">
        <v>26</v>
      </c>
    </row>
    <row r="15" spans="2:16" x14ac:dyDescent="0.2">
      <c r="C15" s="32"/>
      <c r="D15" s="32"/>
    </row>
    <row r="16" spans="2:16" x14ac:dyDescent="0.2">
      <c r="B16" s="33" t="s">
        <v>27</v>
      </c>
      <c r="C16" s="29"/>
      <c r="D16" s="29"/>
    </row>
    <row r="17" spans="2:13" s="5" customFormat="1" ht="51" x14ac:dyDescent="0.2">
      <c r="B17" s="113" t="s">
        <v>28</v>
      </c>
      <c r="C17" s="114" t="s">
        <v>29</v>
      </c>
      <c r="D17" s="114" t="s">
        <v>30</v>
      </c>
      <c r="E17" s="113" t="s">
        <v>31</v>
      </c>
      <c r="F17" s="114" t="s">
        <v>32</v>
      </c>
      <c r="G17" s="114" t="s">
        <v>33</v>
      </c>
      <c r="H17" s="114" t="s">
        <v>87</v>
      </c>
      <c r="I17" s="114" t="s">
        <v>82</v>
      </c>
      <c r="J17" s="116" t="s">
        <v>134</v>
      </c>
      <c r="K17" s="113" t="s">
        <v>135</v>
      </c>
      <c r="L17" s="113" t="s">
        <v>136</v>
      </c>
      <c r="M17" s="109"/>
    </row>
    <row r="18" spans="2:13" x14ac:dyDescent="0.2">
      <c r="B18" s="34" t="str">
        <f>Uncertainties_sources!C5</f>
        <v xml:space="preserve">Relative uncertainty arising from the instability of the optical source </v>
      </c>
      <c r="C18" s="35" t="str">
        <f>Uncertainties_sources!B5</f>
        <v>5.2.5.1</v>
      </c>
      <c r="D18" s="36" t="str">
        <f>Uncertainties_sources!D5</f>
        <v>B or A</v>
      </c>
      <c r="E18" s="36" t="str">
        <f>Uncertainties_sources!E5</f>
        <v>%</v>
      </c>
      <c r="F18" s="36" t="str">
        <f>Uncertainties_sources!F5</f>
        <v>Rectangular (1)</v>
      </c>
      <c r="G18" s="37">
        <f>Uncertainties_sources!G5</f>
        <v>1.1500000000000001</v>
      </c>
      <c r="H18" s="36">
        <f>Uncertainties_sources!I5</f>
        <v>1</v>
      </c>
      <c r="I18" s="38">
        <f>IF(Uncertainties_estimation!J$5="SM-1 cord",Uncertainties_sources!D27,IF(Uncertainties_estimation!J$5="14763-3 SM Link",Uncertainties_sources!D27,IF(Uncertainties_estimation!J$5="SM-2 cords",Uncertainties_sources!F27,IF(Uncertainties_estimation!J$5="SM-3 cords",Uncertainties_sources!E27,IF(Uncertainties_estimation!J$5="MM-1 cord",Uncertainties_sources!H27,IF(Uncertainties_estimation!J$5="14763-3 MM Link",Uncertainties_sources!H27,IF(Uncertainties_estimation!J$5="MM-2 cords",Uncertainties_sources!J27,IF(Uncertainties_estimation!J$5="MM-3 cords",Uncertainties_sources!I27,IF(Uncertainties_estimation!J$5="14763-3 SM Ch.",Uncertainties_sources!G27,IF(Uncertainties_estimation!J$5="14763-3 MM Ch.",Uncertainties_sources!K27,""))))))))))</f>
        <v>1.4139999999999999</v>
      </c>
      <c r="J18" s="39">
        <f t="shared" ref="J18:J27" si="0">G18/H18*I18</f>
        <v>1.6261000000000001</v>
      </c>
      <c r="K18" s="10">
        <f t="shared" ref="K18:K27" si="1">J18^2</f>
        <v>2.6442012100000003</v>
      </c>
      <c r="L18" s="101">
        <f>(I18*J18)^4/Uncertainties_sources!J5</f>
        <v>0.13975155258844124</v>
      </c>
      <c r="M18" s="54"/>
    </row>
    <row r="19" spans="2:13" x14ac:dyDescent="0.2">
      <c r="B19" s="34" t="str">
        <f>Uncertainties_sources!C6</f>
        <v>Relative attenuation uncertainty arising from the uncertainty of the optical source wavelength</v>
      </c>
      <c r="C19" s="35" t="str">
        <f>Uncertainties_sources!B6</f>
        <v>5.2.5.2</v>
      </c>
      <c r="D19" s="36" t="str">
        <f>Uncertainties_sources!D6</f>
        <v>B</v>
      </c>
      <c r="E19" s="36" t="str">
        <f>Uncertainties_sources!E6</f>
        <v>%</v>
      </c>
      <c r="F19" s="36" t="str">
        <f>Uncertainties_sources!F6</f>
        <v>Normal (2)</v>
      </c>
      <c r="G19" s="37">
        <f>ABS(Uncertainties_sources!G6)</f>
        <v>1.1980094999982249</v>
      </c>
      <c r="H19" s="36">
        <f>Uncertainties_sources!I6</f>
        <v>2</v>
      </c>
      <c r="I19" s="38">
        <f>IF(Uncertainties_estimation!J$5="SM-1 cord",Uncertainties_sources!D28,IF(Uncertainties_estimation!J$5="14763-3 SM Link",Uncertainties_sources!D28,IF(Uncertainties_estimation!J$5="SM-2 cords",Uncertainties_sources!F28,IF(Uncertainties_estimation!J$5="SM-3 cords",Uncertainties_sources!E28,IF(Uncertainties_estimation!J$5="MM-1 cord",Uncertainties_sources!H28,IF(Uncertainties_estimation!J$5="14763-3 MM Link",Uncertainties_sources!H28,IF(Uncertainties_estimation!J$5="MM-2 cords",Uncertainties_sources!J28,IF(Uncertainties_estimation!J$5="MM-3 cords",Uncertainties_sources!I28,IF(Uncertainties_estimation!J$5="14763-3 SM Ch.",Uncertainties_sources!G28,IF(Uncertainties_estimation!J$5="14763-3 MM Ch.",Uncertainties_sources!K28,""))))))))))</f>
        <v>1</v>
      </c>
      <c r="J19" s="39">
        <f t="shared" si="0"/>
        <v>0.59900474999911246</v>
      </c>
      <c r="K19" s="10">
        <f t="shared" si="1"/>
        <v>0.35880669052149922</v>
      </c>
      <c r="L19" s="101">
        <f>(I19*J19)^4/Uncertainties_sources!J6</f>
        <v>6.4371120581495453E-4</v>
      </c>
      <c r="M19" s="54"/>
    </row>
    <row r="20" spans="2:13" x14ac:dyDescent="0.2">
      <c r="B20" s="34" t="str">
        <f>Uncertainties_sources!C7</f>
        <v>Relative uncertainty due to the multimode launch condition</v>
      </c>
      <c r="C20" s="35" t="str">
        <f>Uncertainties_sources!B7</f>
        <v>5.2.5.3</v>
      </c>
      <c r="D20" s="36" t="str">
        <f>Uncertainties_sources!D7</f>
        <v>B</v>
      </c>
      <c r="E20" s="36" t="str">
        <f>Uncertainties_sources!E7</f>
        <v>%</v>
      </c>
      <c r="F20" s="36" t="str">
        <f>Uncertainties_sources!F7</f>
        <v>Rectangular (1)</v>
      </c>
      <c r="G20" s="37">
        <f>Uncertainties_sources!G7</f>
        <v>2.76</v>
      </c>
      <c r="H20" s="36">
        <f>Uncertainties_sources!I7</f>
        <v>1.7320508075688772</v>
      </c>
      <c r="I20" s="38">
        <f>IF(Uncertainties_estimation!J$5="SM-1 cord",Uncertainties_sources!D29,IF(Uncertainties_estimation!J$5="14763-3 SM Link",Uncertainties_sources!D29,IF(Uncertainties_estimation!J$5="SM-2 cords",Uncertainties_sources!F29,IF(Uncertainties_estimation!J$5="SM-3 cords",Uncertainties_sources!E29,IF(Uncertainties_estimation!J$5="MM-1 cord",Uncertainties_sources!H29,IF(Uncertainties_estimation!J$5="14763-3 MM Link",Uncertainties_sources!H29,IF(Uncertainties_estimation!J$5="MM-2 cords",Uncertainties_sources!J29,IF(Uncertainties_estimation!J$5="MM-3 cords",Uncertainties_sources!I29,IF(Uncertainties_estimation!J$5="14763-3 SM Ch.",Uncertainties_sources!G29,IF(Uncertainties_estimation!J$5="14763-3 MM Ch.",Uncertainties_sources!K29,""))))))))))</f>
        <v>0</v>
      </c>
      <c r="J20" s="39">
        <f t="shared" si="0"/>
        <v>0</v>
      </c>
      <c r="K20" s="10">
        <f t="shared" si="1"/>
        <v>0</v>
      </c>
      <c r="L20" s="101">
        <f>(I20*J20)^4/Uncertainties_sources!J7</f>
        <v>0</v>
      </c>
      <c r="M20" s="54"/>
    </row>
    <row r="21" spans="2:13" x14ac:dyDescent="0.2">
      <c r="B21" s="34" t="str">
        <f>Uncertainties_sources!C8</f>
        <v>Relative uncertainty arising from the non-linearity of the power meter</v>
      </c>
      <c r="C21" s="35" t="str">
        <f>Uncertainties_sources!B8</f>
        <v>5.2.5.4</v>
      </c>
      <c r="D21" s="36" t="str">
        <f>Uncertainties_sources!D8</f>
        <v>B</v>
      </c>
      <c r="E21" s="36" t="str">
        <f>Uncertainties_sources!E8</f>
        <v>%</v>
      </c>
      <c r="F21" s="36" t="str">
        <f>Uncertainties_sources!F8</f>
        <v>Rectangular (1)</v>
      </c>
      <c r="G21" s="37">
        <f>Uncertainties_sources!G8</f>
        <v>0.115</v>
      </c>
      <c r="H21" s="36">
        <f>Uncertainties_sources!I8</f>
        <v>1.7320508075688772</v>
      </c>
      <c r="I21" s="38">
        <f>IF(Uncertainties_estimation!J$5="SM-1 cord",Uncertainties_sources!D30,IF(Uncertainties_estimation!J$5="14763-3 SM Link",Uncertainties_sources!D30,IF(Uncertainties_estimation!J$5="SM-2 cords",Uncertainties_sources!F30,IF(Uncertainties_estimation!J$5="SM-3 cords",Uncertainties_sources!E30,IF(Uncertainties_estimation!J$5="MM-1 cord",Uncertainties_sources!H30,IF(Uncertainties_estimation!J$5="14763-3 MM Link",Uncertainties_sources!H30,IF(Uncertainties_estimation!J$5="MM-2 cords",Uncertainties_sources!J30,IF(Uncertainties_estimation!J$5="MM-3 cords",Uncertainties_sources!I30,IF(Uncertainties_estimation!J$5="14763-3 SM Ch.",Uncertainties_sources!G30,IF(Uncertainties_estimation!J$5="14763-3 MM Ch.",Uncertainties_sources!K30,""))))))))))</f>
        <v>1</v>
      </c>
      <c r="J21" s="39">
        <f t="shared" si="0"/>
        <v>6.6395280956806968E-2</v>
      </c>
      <c r="K21" s="10">
        <f t="shared" si="1"/>
        <v>4.4083333333333344E-3</v>
      </c>
      <c r="L21" s="101">
        <f>(I21*J21)^4/Uncertainties_sources!J8</f>
        <v>9.7167013888888928E-8</v>
      </c>
      <c r="M21" s="54"/>
    </row>
    <row r="22" spans="2:13" x14ac:dyDescent="0.2">
      <c r="B22" s="34" t="str">
        <f>Uncertainties_sources!C9</f>
        <v xml:space="preserve">Relative uncertainty arising from the finite display resolution of power meter </v>
      </c>
      <c r="C22" s="35" t="str">
        <f>Uncertainties_sources!B9</f>
        <v>5.2.5.5</v>
      </c>
      <c r="D22" s="36" t="str">
        <f>Uncertainties_sources!D9</f>
        <v>B</v>
      </c>
      <c r="E22" s="36" t="str">
        <f>Uncertainties_sources!E9</f>
        <v>%</v>
      </c>
      <c r="F22" s="36" t="str">
        <f>Uncertainties_sources!F9</f>
        <v>Rectangular (1)</v>
      </c>
      <c r="G22" s="37">
        <f>Uncertainties_sources!G9</f>
        <v>0.115</v>
      </c>
      <c r="H22" s="36">
        <f>Uncertainties_sources!I9</f>
        <v>1.7320508075688772</v>
      </c>
      <c r="I22" s="38">
        <f>IF(Uncertainties_estimation!J$5="SM-1 cord",Uncertainties_sources!D31,IF(Uncertainties_estimation!J$5="14763-3 SM Link",Uncertainties_sources!D31,IF(Uncertainties_estimation!J$5="SM-2 cords",Uncertainties_sources!F31,IF(Uncertainties_estimation!J$5="SM-3 cords",Uncertainties_sources!E31,IF(Uncertainties_estimation!J$5="MM-1 cord",Uncertainties_sources!H31,IF(Uncertainties_estimation!J$5="14763-3 MM Link",Uncertainties_sources!H31,IF(Uncertainties_estimation!J$5="MM-2 cords",Uncertainties_sources!J31,IF(Uncertainties_estimation!J$5="MM-3 cords",Uncertainties_sources!I31,IF(Uncertainties_estimation!J$5="14763-3 SM Ch.",Uncertainties_sources!G31,IF(Uncertainties_estimation!J$5="14763-3 MM Ch.",Uncertainties_sources!K31,""))))))))))</f>
        <v>1.4139999999999999</v>
      </c>
      <c r="J22" s="39">
        <f t="shared" si="0"/>
        <v>9.3882927272925049E-2</v>
      </c>
      <c r="K22" s="10">
        <f t="shared" si="1"/>
        <v>8.8140040333333346E-3</v>
      </c>
      <c r="L22" s="101">
        <f>(I22*J22)^4/Uncertainties_sources!J9</f>
        <v>3.1055900575209154E-103</v>
      </c>
      <c r="M22" s="54"/>
    </row>
    <row r="23" spans="2:13" x14ac:dyDescent="0.2">
      <c r="B23" s="34" t="str">
        <f>Uncertainties_sources!C10</f>
        <v xml:space="preserve">Relative uncertainty arising from power meter spatial sensitivity. </v>
      </c>
      <c r="C23" s="35" t="str">
        <f>Uncertainties_sources!B10</f>
        <v>5.2.5.6</v>
      </c>
      <c r="D23" s="36" t="str">
        <f>Uncertainties_sources!D10</f>
        <v>B</v>
      </c>
      <c r="E23" s="36" t="str">
        <f>Uncertainties_sources!E10</f>
        <v>%</v>
      </c>
      <c r="F23" s="36" t="str">
        <f>Uncertainties_sources!F10</f>
        <v>Rectangular (1)</v>
      </c>
      <c r="G23" s="37">
        <f>Uncertainties_sources!G10</f>
        <v>0</v>
      </c>
      <c r="H23" s="36">
        <f>Uncertainties_sources!I10</f>
        <v>1.7320508075688772</v>
      </c>
      <c r="I23" s="38">
        <f>IF(Uncertainties_estimation!J$5="SM-1 cord",Uncertainties_sources!D32,IF(Uncertainties_estimation!J$5="14763-3 SM Link",Uncertainties_sources!D32,IF(Uncertainties_estimation!J$5="SM-2 cords",Uncertainties_sources!F32,IF(Uncertainties_estimation!J$5="SM-3 cords",Uncertainties_sources!E32,IF(Uncertainties_estimation!J$5="MM-1 cord",Uncertainties_sources!H32,IF(Uncertainties_estimation!J$5="14763-3 MM Link",Uncertainties_sources!H32,IF(Uncertainties_estimation!J$5="MM-2 cords",Uncertainties_sources!J32,IF(Uncertainties_estimation!J$5="MM-3 cords",Uncertainties_sources!I32,IF(Uncertainties_estimation!J$5="14763-3 SM Ch.",Uncertainties_sources!G32,IF(Uncertainties_estimation!J$5="14763-3 MM Ch.",Uncertainties_sources!K32,""))))))))))</f>
        <v>1.4139999999999999</v>
      </c>
      <c r="J23" s="39">
        <f t="shared" si="0"/>
        <v>0</v>
      </c>
      <c r="K23" s="10">
        <f t="shared" si="1"/>
        <v>0</v>
      </c>
      <c r="L23" s="101">
        <f>(I23*J23)^4/Uncertainties_sources!J10</f>
        <v>0</v>
      </c>
      <c r="M23" s="54"/>
    </row>
    <row r="24" spans="2:13" x14ac:dyDescent="0.2">
      <c r="B24" s="34" t="str">
        <f>Uncertainties_sources!C11</f>
        <v xml:space="preserve">Relative uncertainty arising from the polarization dependency of power meter </v>
      </c>
      <c r="C24" s="35" t="str">
        <f>Uncertainties_sources!B11</f>
        <v>5.2.6.7</v>
      </c>
      <c r="D24" s="36" t="str">
        <f>Uncertainties_sources!D11</f>
        <v>B</v>
      </c>
      <c r="E24" s="36" t="str">
        <f>Uncertainties_sources!E11</f>
        <v>%</v>
      </c>
      <c r="F24" s="36" t="str">
        <f>Uncertainties_sources!F11</f>
        <v>Rectangular (1)</v>
      </c>
      <c r="G24" s="37">
        <f>Uncertainties_sources!G11</f>
        <v>0.115</v>
      </c>
      <c r="H24" s="36">
        <f>Uncertainties_sources!I11</f>
        <v>1.7320508075688772</v>
      </c>
      <c r="I24" s="38">
        <f>IF(Uncertainties_estimation!J$5="SM-1 cord",Uncertainties_sources!D33,IF(Uncertainties_estimation!J$5="14763-3 SM Link",Uncertainties_sources!D33,IF(Uncertainties_estimation!J$5="SM-2 cords",Uncertainties_sources!F33,IF(Uncertainties_estimation!J$5="SM-3 cords",Uncertainties_sources!E33,IF(Uncertainties_estimation!J$5="MM-1 cord",Uncertainties_sources!H33,IF(Uncertainties_estimation!J$5="14763-3 MM Link",Uncertainties_sources!H33,IF(Uncertainties_estimation!J$5="MM-2 cords",Uncertainties_sources!J33,IF(Uncertainties_estimation!J$5="MM-3 cords",Uncertainties_sources!I33,IF(Uncertainties_estimation!J$5="14763-3 SM Ch.",Uncertainties_sources!G33,IF(Uncertainties_estimation!J$5="14763-3 MM Ch.",Uncertainties_sources!K33,""))))))))))</f>
        <v>1.4139999999999999</v>
      </c>
      <c r="J24" s="39">
        <f t="shared" si="0"/>
        <v>9.3882927272925049E-2</v>
      </c>
      <c r="K24" s="10">
        <f t="shared" si="1"/>
        <v>8.8140040333333346E-3</v>
      </c>
      <c r="L24" s="101">
        <f>(I24*J24)^4/Uncertainties_sources!J11</f>
        <v>1.5527950287604577E-6</v>
      </c>
      <c r="M24" s="54"/>
    </row>
    <row r="25" spans="2:13" x14ac:dyDescent="0.2">
      <c r="B25" s="34" t="str">
        <f>Uncertainties_sources!C12</f>
        <v xml:space="preserve">Relative uncertainty arising from power meter noise </v>
      </c>
      <c r="C25" s="35" t="str">
        <f>Uncertainties_sources!B12</f>
        <v>5.2.5.8</v>
      </c>
      <c r="D25" s="36" t="str">
        <f>Uncertainties_sources!D12</f>
        <v>B</v>
      </c>
      <c r="E25" s="36" t="str">
        <f>Uncertainties_sources!E12</f>
        <v>%</v>
      </c>
      <c r="F25" s="36" t="str">
        <f>Uncertainties_sources!F12</f>
        <v>Rectangular (1)</v>
      </c>
      <c r="G25" s="37">
        <f>Uncertainties_sources!G12</f>
        <v>-2.8985507246376811E-9</v>
      </c>
      <c r="H25" s="36">
        <f>Uncertainties_sources!I12</f>
        <v>1.7320508075688772</v>
      </c>
      <c r="I25" s="38">
        <f>IF(Uncertainties_estimation!J$5="SM-1 cord",Uncertainties_sources!D34,IF(Uncertainties_estimation!J$5="14763-3 SM Link",Uncertainties_sources!D34,IF(Uncertainties_estimation!J$5="SM-2 cords",Uncertainties_sources!F34,IF(Uncertainties_estimation!J$5="SM-3 cords",Uncertainties_sources!E34,IF(Uncertainties_estimation!J$5="MM-1 cord",Uncertainties_sources!H34,IF(Uncertainties_estimation!J$5="14763-3 MM Link",Uncertainties_sources!H34,IF(Uncertainties_estimation!J$5="MM-2 cords",Uncertainties_sources!J34,IF(Uncertainties_estimation!J$5="MM-3 cords",Uncertainties_sources!I34,IF(Uncertainties_estimation!J$5="14763-3 SM Ch.",Uncertainties_sources!G34,IF(Uncertainties_estimation!J$5="14763-3 MM Ch.",Uncertainties_sources!K34,""))))))))))</f>
        <v>1.4139999999999999</v>
      </c>
      <c r="J25" s="39">
        <f t="shared" si="0"/>
        <v>-2.3662993641569007E-9</v>
      </c>
      <c r="K25" s="10">
        <f t="shared" si="1"/>
        <v>5.5993726808093523E-18</v>
      </c>
      <c r="L25" s="101">
        <f>(I25*J25)^4/Uncertainties_sources!J12</f>
        <v>6.2668080163123899E-39</v>
      </c>
      <c r="M25" s="54"/>
    </row>
    <row r="26" spans="2:13" x14ac:dyDescent="0.2">
      <c r="B26" s="34" t="str">
        <f>Uncertainties_sources!C13</f>
        <v>Relative uncertainty arising from power meter instability</v>
      </c>
      <c r="C26" s="35" t="str">
        <f>Uncertainties_sources!B13</f>
        <v>5.2.5.9</v>
      </c>
      <c r="D26" s="36" t="str">
        <f>Uncertainties_sources!D13</f>
        <v>B</v>
      </c>
      <c r="E26" s="36" t="str">
        <f>Uncertainties_sources!E13</f>
        <v>%</v>
      </c>
      <c r="F26" s="36" t="str">
        <f>Uncertainties_sources!F13</f>
        <v>Normal (2)</v>
      </c>
      <c r="G26" s="37">
        <f>Uncertainties_sources!G13</f>
        <v>0.1</v>
      </c>
      <c r="H26" s="36">
        <f>Uncertainties_sources!I13</f>
        <v>2</v>
      </c>
      <c r="I26" s="38">
        <f>IF(Uncertainties_estimation!J$5="SM-1 cord",Uncertainties_sources!D35,IF(Uncertainties_estimation!J$5="14763-3 SM Link",Uncertainties_sources!D35,IF(Uncertainties_estimation!J$5="SM-2 cords",Uncertainties_sources!F35,IF(Uncertainties_estimation!J$5="SM-3 cords",Uncertainties_sources!E35,IF(Uncertainties_estimation!J$5="MM-1 cord",Uncertainties_sources!H35,IF(Uncertainties_estimation!J$5="14763-3 MM Link",Uncertainties_sources!H35,IF(Uncertainties_estimation!J$5="MM-2 cords",Uncertainties_sources!J35,IF(Uncertainties_estimation!J$5="MM-3 cords",Uncertainties_sources!I35,IF(Uncertainties_estimation!J$5="14763-3 SM Ch.",Uncertainties_sources!G35,IF(Uncertainties_estimation!J$5="14763-3 MM Ch.",Uncertainties_sources!K35,""))))))))))</f>
        <v>1.4139999999999999</v>
      </c>
      <c r="J26" s="39">
        <f t="shared" si="0"/>
        <v>7.0699999999999999E-2</v>
      </c>
      <c r="K26" s="10">
        <f t="shared" si="1"/>
        <v>4.9984899999999995E-3</v>
      </c>
      <c r="L26" s="101">
        <f>(I26*J26)^4/Uncertainties_sources!J13</f>
        <v>4.9939627355691682E-7</v>
      </c>
      <c r="M26" s="54"/>
    </row>
    <row r="27" spans="2:13" x14ac:dyDescent="0.2">
      <c r="B27" s="34" t="str">
        <f>Uncertainties_sources!C14</f>
        <v xml:space="preserve">Relative uncertainties of the absolute power measurements </v>
      </c>
      <c r="C27" s="35" t="str">
        <f>Uncertainties_sources!B14</f>
        <v>5.2.5.10</v>
      </c>
      <c r="D27" s="36" t="str">
        <f>Uncertainties_sources!D14</f>
        <v>B</v>
      </c>
      <c r="E27" s="36" t="str">
        <f>Uncertainties_sources!E14</f>
        <v>%</v>
      </c>
      <c r="F27" s="36" t="str">
        <f>Uncertainties_sources!F14</f>
        <v>Normal (2)</v>
      </c>
      <c r="G27" s="37">
        <f>Uncertainties_sources!G14</f>
        <v>0</v>
      </c>
      <c r="H27" s="36">
        <f>Uncertainties_sources!I14</f>
        <v>2</v>
      </c>
      <c r="I27" s="38">
        <f>IF(Uncertainties_estimation!J$5="SM-1 cord",Uncertainties_sources!D36,IF(Uncertainties_estimation!J$5="14763-3 SM Link",Uncertainties_sources!D36,IF(Uncertainties_estimation!J$5="SM-2 cords",Uncertainties_sources!F36,IF(Uncertainties_estimation!J$5="SM-3 cords",Uncertainties_sources!E36,IF(Uncertainties_estimation!J$5="MM-1 cord",Uncertainties_sources!H36,IF(Uncertainties_estimation!J$5="14763-3 MM Link",Uncertainties_sources!H36,IF(Uncertainties_estimation!J$5="MM-2 cords",Uncertainties_sources!J36,IF(Uncertainties_estimation!J$5="MM-3 cords",Uncertainties_sources!I36,IF(Uncertainties_estimation!J$5="14763-3 SM Ch.",Uncertainties_sources!G36,IF(Uncertainties_estimation!J$5="14763-3 MM Ch.",Uncertainties_sources!K36,""))))))))))</f>
        <v>1.4139999999999999</v>
      </c>
      <c r="J27" s="39">
        <f t="shared" si="0"/>
        <v>0</v>
      </c>
      <c r="K27" s="10">
        <f t="shared" si="1"/>
        <v>0</v>
      </c>
      <c r="L27" s="101">
        <f>(I27*J27)^4/Uncertainties_sources!J14</f>
        <v>0</v>
      </c>
      <c r="M27" s="54"/>
    </row>
    <row r="28" spans="2:13" x14ac:dyDescent="0.2">
      <c r="C28" s="32"/>
      <c r="D28" s="32"/>
      <c r="K28" s="40">
        <f>SQRT(SUM(K18:K27))</f>
        <v>1.7407017929333846</v>
      </c>
      <c r="L28" s="92">
        <f>SUM(L18:L27)</f>
        <v>0.1403974131525724</v>
      </c>
    </row>
    <row r="29" spans="2:13" x14ac:dyDescent="0.2">
      <c r="B29" s="33" t="s">
        <v>139</v>
      </c>
      <c r="C29" s="29"/>
      <c r="D29" s="29"/>
    </row>
    <row r="30" spans="2:13" s="5" customFormat="1" ht="51" x14ac:dyDescent="0.2">
      <c r="B30" s="113" t="s">
        <v>28</v>
      </c>
      <c r="C30" s="114" t="s">
        <v>29</v>
      </c>
      <c r="D30" s="114" t="s">
        <v>30</v>
      </c>
      <c r="E30" s="113" t="s">
        <v>31</v>
      </c>
      <c r="F30" s="114" t="s">
        <v>32</v>
      </c>
      <c r="G30" s="114" t="s">
        <v>33</v>
      </c>
      <c r="H30" s="114" t="s">
        <v>87</v>
      </c>
      <c r="I30" s="114" t="s">
        <v>82</v>
      </c>
      <c r="J30" s="116" t="s">
        <v>134</v>
      </c>
      <c r="K30" s="113" t="s">
        <v>135</v>
      </c>
      <c r="L30" s="113" t="s">
        <v>136</v>
      </c>
    </row>
    <row r="31" spans="2:13" x14ac:dyDescent="0.2">
      <c r="B31" s="34" t="str">
        <f>Uncertainties_sources!C15</f>
        <v>Relative uncertainties due to mating reproducibility</v>
      </c>
      <c r="C31" s="35" t="str">
        <f>Uncertainties_sources!B15</f>
        <v>5.2.6.1</v>
      </c>
      <c r="D31" s="36" t="str">
        <f>Uncertainties_sources!D15</f>
        <v>B</v>
      </c>
      <c r="E31" s="36" t="str">
        <f>Uncertainties_sources!E15</f>
        <v>%</v>
      </c>
      <c r="F31" s="36" t="str">
        <f>Uncertainties_sources!F15</f>
        <v>Rectangular (1)</v>
      </c>
      <c r="G31" s="37">
        <f>Uncertainties_sources!G15</f>
        <v>2.3000000000000003</v>
      </c>
      <c r="H31" s="36">
        <f>Uncertainties_sources!I15</f>
        <v>1.7320508075688772</v>
      </c>
      <c r="I31" s="38">
        <f>IF(Uncertainties_estimation!J$5="SM-1 cord",Uncertainties_sources!D37,IF(Uncertainties_estimation!J$5="14763-3 SM Link",Uncertainties_sources!D37,IF(Uncertainties_estimation!J$5="SM-2 cords",Uncertainties_sources!F37,IF(Uncertainties_estimation!J$5="SM-3 cords",Uncertainties_sources!E37,IF(Uncertainties_estimation!J$5="MM-1 cord",Uncertainties_sources!H37,IF(Uncertainties_estimation!J$5="14763-3 MM Link",Uncertainties_sources!H37,IF(Uncertainties_estimation!J$5="MM-2 cords",Uncertainties_sources!J37,IF(Uncertainties_estimation!J$5="MM-3 cords",Uncertainties_sources!I37,IF(Uncertainties_estimation!J$5="14763-3 SM Ch.",Uncertainties_sources!G37,IF(Uncertainties_estimation!J$5="14763-3 MM Ch.",Uncertainties_sources!K37,""))))))))))</f>
        <v>0</v>
      </c>
      <c r="J31" s="39">
        <f>G31/H31*I31</f>
        <v>0</v>
      </c>
      <c r="K31" s="10">
        <f>J31^2</f>
        <v>0</v>
      </c>
      <c r="L31" s="101">
        <f>(I31*J31)^4/Uncertainties_sources!J15</f>
        <v>0</v>
      </c>
    </row>
    <row r="32" spans="2:13" x14ac:dyDescent="0.2">
      <c r="B32" s="34" t="str">
        <f>Uncertainties_sources!C16</f>
        <v>Relative uncertainty related to the repeatability of the reference connector mating.</v>
      </c>
      <c r="C32" s="35" t="str">
        <f>Uncertainties_sources!B16</f>
        <v>5.2.6.2</v>
      </c>
      <c r="D32" s="36" t="str">
        <f>Uncertainties_sources!D16</f>
        <v>B</v>
      </c>
      <c r="E32" s="36" t="str">
        <f>Uncertainties_sources!E16</f>
        <v>%</v>
      </c>
      <c r="F32" s="36" t="str">
        <f>Uncertainties_sources!F16</f>
        <v>Rectangular (1)</v>
      </c>
      <c r="G32" s="37">
        <f>Uncertainties_sources!G16</f>
        <v>1.1500000000000001</v>
      </c>
      <c r="H32" s="36">
        <f>Uncertainties_sources!I16</f>
        <v>1.7320508075688772</v>
      </c>
      <c r="I32" s="38">
        <f>IF(Uncertainties_estimation!J$5="SM-1 cord",Uncertainties_sources!D38,IF(Uncertainties_estimation!J$5="14763-3 SM Link",Uncertainties_sources!D38,IF(Uncertainties_estimation!J$5="SM-2 cords",Uncertainties_sources!F38,IF(Uncertainties_estimation!J$5="SM-3 cords",Uncertainties_sources!E38,IF(Uncertainties_estimation!J$5="MM-1 cord",Uncertainties_sources!H38,IF(Uncertainties_estimation!J$5="14763-3 MM Link",Uncertainties_sources!H38,IF(Uncertainties_estimation!J$5="MM-2 cords",Uncertainties_sources!J38,IF(Uncertainties_estimation!J$5="MM-3 cords",Uncertainties_sources!I38,IF(Uncertainties_estimation!J$5="14763-3 SM Ch.",Uncertainties_sources!G38,IF(Uncertainties_estimation!J$5="14763-3 MM Ch.",Uncertainties_sources!K38,""))))))))))</f>
        <v>0</v>
      </c>
      <c r="J32" s="39">
        <f>G32/H32*I32</f>
        <v>0</v>
      </c>
      <c r="K32" s="10">
        <f>J32^2</f>
        <v>0</v>
      </c>
      <c r="L32" s="101">
        <f>(I32*J32)^4/Uncertainties_sources!J16</f>
        <v>0</v>
      </c>
    </row>
    <row r="33" spans="2:12" x14ac:dyDescent="0.2">
      <c r="B33" s="34" t="str">
        <f>Uncertainties_sources!C17</f>
        <v>Relative uncertainty related to the PDL of the reference APC connectors.</v>
      </c>
      <c r="C33" s="35" t="str">
        <f>Uncertainties_sources!B17</f>
        <v>5.2.6.3</v>
      </c>
      <c r="D33" s="36" t="str">
        <f>Uncertainties_sources!D17</f>
        <v>B</v>
      </c>
      <c r="E33" s="36" t="str">
        <f>Uncertainties_sources!E17</f>
        <v>%</v>
      </c>
      <c r="F33" s="36" t="str">
        <f>Uncertainties_sources!F17</f>
        <v>Rectangular (1)</v>
      </c>
      <c r="G33" s="37">
        <f>Uncertainties_sources!G17</f>
        <v>0</v>
      </c>
      <c r="H33" s="36">
        <f>Uncertainties_sources!I17</f>
        <v>1.7320508075688772</v>
      </c>
      <c r="I33" s="38">
        <f>IF(Uncertainties_estimation!J$5="SM-1 cord",Uncertainties_sources!D39,IF(Uncertainties_estimation!J$5="14763-3 SM Link",Uncertainties_sources!D39,IF(Uncertainties_estimation!J$5="SM-2 cords",Uncertainties_sources!F39,IF(Uncertainties_estimation!J$5="SM-3 cords",Uncertainties_sources!E39,IF(Uncertainties_estimation!J$5="MM-1 cord",Uncertainties_sources!H39,IF(Uncertainties_estimation!J$5="14763-3 MM Link",Uncertainties_sources!H39,IF(Uncertainties_estimation!J$5="MM-2 cords",Uncertainties_sources!J39,IF(Uncertainties_estimation!J$5="MM-3 cords",Uncertainties_sources!I39,IF(Uncertainties_estimation!J$5="14763-3 SM Ch.",Uncertainties_sources!G39,IF(Uncertainties_estimation!J$5="14763-3 MM Ch.",Uncertainties_sources!K39,""))))))))))</f>
        <v>1</v>
      </c>
      <c r="J33" s="39">
        <f>G33/H33*I33</f>
        <v>0</v>
      </c>
      <c r="K33" s="10">
        <f>J33^2</f>
        <v>0</v>
      </c>
      <c r="L33" s="101">
        <f>(I33*J33)^4/Uncertainties_sources!J17</f>
        <v>0</v>
      </c>
    </row>
    <row r="34" spans="2:12" x14ac:dyDescent="0.2">
      <c r="C34" s="32"/>
      <c r="D34" s="32"/>
      <c r="K34" s="40">
        <f>SQRT(SUM(K31:K33))</f>
        <v>0</v>
      </c>
      <c r="L34" s="102">
        <f>SUM(L31:L33)</f>
        <v>0</v>
      </c>
    </row>
    <row r="35" spans="2:12" x14ac:dyDescent="0.2">
      <c r="B35" s="33" t="s">
        <v>140</v>
      </c>
      <c r="C35" s="29"/>
      <c r="D35" s="29"/>
    </row>
    <row r="36" spans="2:12" s="5" customFormat="1" ht="51" x14ac:dyDescent="0.2">
      <c r="B36" s="113" t="s">
        <v>28</v>
      </c>
      <c r="C36" s="114" t="s">
        <v>29</v>
      </c>
      <c r="D36" s="114" t="s">
        <v>30</v>
      </c>
      <c r="E36" s="113" t="s">
        <v>31</v>
      </c>
      <c r="F36" s="114" t="s">
        <v>32</v>
      </c>
      <c r="G36" s="114" t="s">
        <v>33</v>
      </c>
      <c r="H36" s="114" t="s">
        <v>87</v>
      </c>
      <c r="I36" s="114" t="s">
        <v>82</v>
      </c>
      <c r="J36" s="116" t="s">
        <v>134</v>
      </c>
      <c r="K36" s="113" t="s">
        <v>135</v>
      </c>
      <c r="L36" s="113" t="s">
        <v>136</v>
      </c>
    </row>
    <row r="37" spans="2:12" x14ac:dyDescent="0.2">
      <c r="B37" s="34" t="str">
        <f>Uncertainties_sources!C18</f>
        <v>Relative uncertainties due to mating reproducibility</v>
      </c>
      <c r="C37" s="41" t="str">
        <f>Uncertainties_sources!B18</f>
        <v>5.2.7.1</v>
      </c>
      <c r="D37" s="36" t="str">
        <f>Uncertainties_sources!D18</f>
        <v>B</v>
      </c>
      <c r="E37" s="36" t="str">
        <f>Uncertainties_sources!E18</f>
        <v>%</v>
      </c>
      <c r="F37" s="36" t="str">
        <f>Uncertainties_sources!F18</f>
        <v>Rectangular (1)</v>
      </c>
      <c r="G37" s="37">
        <f>Uncertainties_sources!G18</f>
        <v>2.3000000000000003</v>
      </c>
      <c r="H37" s="36">
        <f>Uncertainties_sources!I18</f>
        <v>1.7320508075688772</v>
      </c>
      <c r="I37" s="38">
        <f>IF(Uncertainties_estimation!J$5="SM-1 cord",Uncertainties_sources!D40,IF(Uncertainties_estimation!J$5="14763-3 SM Link",Uncertainties_sources!D40,IF(Uncertainties_estimation!J$5="SM-2 cords",Uncertainties_sources!F40,IF(Uncertainties_estimation!J$5="SM-3 cords",Uncertainties_sources!E40,IF(Uncertainties_estimation!J$5="MM-1 cord",Uncertainties_sources!H40,IF(Uncertainties_estimation!J$5="14763-3 MM Link",Uncertainties_sources!H40,IF(Uncertainties_estimation!J$5="MM-2 cords",Uncertainties_sources!J40,IF(Uncertainties_estimation!J$5="MM-3 cords",Uncertainties_sources!I40,IF(Uncertainties_estimation!J$5="14763-3 SM Ch.",Uncertainties_sources!G40,IF(Uncertainties_estimation!J$5="14763-3 MM Ch.",Uncertainties_sources!K40,""))))))))))</f>
        <v>1.4139999999999999</v>
      </c>
      <c r="J37" s="39">
        <f>G37/H37*I37</f>
        <v>1.8776585454585013</v>
      </c>
      <c r="K37" s="10">
        <f>J37^2</f>
        <v>3.5256016133333348</v>
      </c>
      <c r="L37" s="101">
        <f>(I37*J37)^4/Uncertainties_sources!J18</f>
        <v>9.9378881840669359E-3</v>
      </c>
    </row>
    <row r="38" spans="2:12" x14ac:dyDescent="0.2">
      <c r="B38" s="34" t="str">
        <f>Uncertainties_sources!C19</f>
        <v>Relative uncertainty related to the repeatability of the reference connector mating to cabling connectors</v>
      </c>
      <c r="C38" s="41" t="str">
        <f>Uncertainties_sources!B19</f>
        <v>5.2.7.2</v>
      </c>
      <c r="D38" s="36" t="str">
        <f>Uncertainties_sources!D19</f>
        <v>B</v>
      </c>
      <c r="E38" s="36" t="str">
        <f>Uncertainties_sources!E19</f>
        <v>%</v>
      </c>
      <c r="F38" s="36" t="str">
        <f>Uncertainties_sources!F19</f>
        <v>Rectangular (1)</v>
      </c>
      <c r="G38" s="37">
        <f>Uncertainties_sources!G19</f>
        <v>1.1500000000000001</v>
      </c>
      <c r="H38" s="36">
        <f>Uncertainties_sources!I19</f>
        <v>1.7320508075688772</v>
      </c>
      <c r="I38" s="38">
        <f>IF(Uncertainties_estimation!J$5="SM-1 cord",Uncertainties_sources!D41,IF(Uncertainties_estimation!J$5="14763-3 SM Link",Uncertainties_sources!D41,IF(Uncertainties_estimation!J$5="SM-2 cords",Uncertainties_sources!F41,IF(Uncertainties_estimation!J$5="SM-3 cords",Uncertainties_sources!E41,IF(Uncertainties_estimation!J$5="MM-1 cord",Uncertainties_sources!H41,IF(Uncertainties_estimation!J$5="14763-3 MM Link",Uncertainties_sources!H41,IF(Uncertainties_estimation!J$5="MM-2 cords",Uncertainties_sources!J41,IF(Uncertainties_estimation!J$5="MM-3 cords",Uncertainties_sources!I41,IF(Uncertainties_estimation!J$5="14763-3 SM Ch.",Uncertainties_sources!G41,IF(Uncertainties_estimation!J$5="14763-3 MM Ch.",Uncertainties_sources!K41,""))))))))))</f>
        <v>1.4139999999999999</v>
      </c>
      <c r="J38" s="39">
        <f>G38/H38*I38</f>
        <v>0.93882927272925065</v>
      </c>
      <c r="K38" s="10">
        <f>J38^2</f>
        <v>0.88140040333333369</v>
      </c>
      <c r="L38" s="101">
        <f>(I38*J38)^4/Uncertainties_sources!J19</f>
        <v>6.211180115041835E-4</v>
      </c>
    </row>
    <row r="39" spans="2:12" x14ac:dyDescent="0.2">
      <c r="B39" s="34" t="str">
        <f>Uncertainties_sources!C20</f>
        <v>Relative uncertainty related to the PDL of the cabling APC connectors</v>
      </c>
      <c r="C39" s="41" t="str">
        <f>Uncertainties_sources!B20</f>
        <v>5.2.7.3</v>
      </c>
      <c r="D39" s="36" t="str">
        <f>Uncertainties_sources!D20</f>
        <v>B</v>
      </c>
      <c r="E39" s="36" t="str">
        <f>Uncertainties_sources!E20</f>
        <v>%</v>
      </c>
      <c r="F39" s="36" t="str">
        <f>Uncertainties_sources!F20</f>
        <v>Rectangular (1)</v>
      </c>
      <c r="G39" s="36">
        <f>Uncertainties_sources!G20</f>
        <v>0</v>
      </c>
      <c r="H39" s="36">
        <f>Uncertainties_sources!I20</f>
        <v>1.7320508075688772</v>
      </c>
      <c r="I39" s="38">
        <f>IF(Uncertainties_estimation!J$5="SM-1 cord",Uncertainties_sources!D42,IF(Uncertainties_estimation!J$5="14763-3 SM Link",Uncertainties_sources!D42,IF(Uncertainties_estimation!J$5="SM-2 cords",Uncertainties_sources!F42,IF(Uncertainties_estimation!J$5="SM-3 cords",Uncertainties_sources!E42,IF(Uncertainties_estimation!J$5="MM-1 cord",Uncertainties_sources!H42,IF(Uncertainties_estimation!J$5="14763-3 MM Link",Uncertainties_sources!H42,IF(Uncertainties_estimation!J$5="MM-2 cords",Uncertainties_sources!J42,IF(Uncertainties_estimation!J$5="MM-3 cords",Uncertainties_sources!I42,IF(Uncertainties_estimation!J$5="14763-3 SM Ch.",Uncertainties_sources!G42,IF(Uncertainties_estimation!J$5="14763-3 MM Ch.",Uncertainties_sources!K42,""))))))))))</f>
        <v>1.732</v>
      </c>
      <c r="J39" s="39">
        <f>G39/H39*I39</f>
        <v>0</v>
      </c>
      <c r="K39" s="10">
        <f>J39^2</f>
        <v>0</v>
      </c>
      <c r="L39" s="101">
        <f>(I39*J39)^4/Uncertainties_sources!J20</f>
        <v>0</v>
      </c>
    </row>
    <row r="40" spans="2:12" x14ac:dyDescent="0.2">
      <c r="K40" s="40">
        <f>SQRT(SUM(K37:K39))</f>
        <v>2.0992860730892939</v>
      </c>
      <c r="L40" s="102">
        <f>SUM(L37:L39)</f>
        <v>1.0559006195571119E-2</v>
      </c>
    </row>
    <row r="41" spans="2:12" x14ac:dyDescent="0.2">
      <c r="B41" s="95" t="s">
        <v>90</v>
      </c>
    </row>
    <row r="42" spans="2:12" ht="19.5" customHeight="1" x14ac:dyDescent="0.2">
      <c r="B42" s="96"/>
      <c r="C42" s="97"/>
      <c r="D42" s="97"/>
      <c r="E42" s="96"/>
      <c r="F42" s="97"/>
      <c r="G42" s="97"/>
      <c r="H42" s="97"/>
      <c r="I42" s="97"/>
      <c r="J42" s="98"/>
      <c r="K42" s="96"/>
      <c r="L42" s="96" t="s">
        <v>91</v>
      </c>
    </row>
    <row r="43" spans="2:12" x14ac:dyDescent="0.2">
      <c r="L43" s="94">
        <f>D9^4/(L28+L34+L40)</f>
        <v>366.39471730542908</v>
      </c>
    </row>
  </sheetData>
  <mergeCells count="15">
    <mergeCell ref="B2:F2"/>
    <mergeCell ref="I2:L2"/>
    <mergeCell ref="F12:I12"/>
    <mergeCell ref="F13:I13"/>
    <mergeCell ref="F7:I7"/>
    <mergeCell ref="J7:K7"/>
    <mergeCell ref="F8:I8"/>
    <mergeCell ref="F9:I9"/>
    <mergeCell ref="F10:I10"/>
    <mergeCell ref="F11:I11"/>
    <mergeCell ref="F4:K4"/>
    <mergeCell ref="F5:I5"/>
    <mergeCell ref="J5:K5"/>
    <mergeCell ref="F6:I6"/>
    <mergeCell ref="J6:K6"/>
  </mergeCells>
  <conditionalFormatting sqref="J9">
    <cfRule type="cellIs" dxfId="2" priority="4" operator="greaterThan">
      <formula>100</formula>
    </cfRule>
  </conditionalFormatting>
  <conditionalFormatting sqref="J8">
    <cfRule type="cellIs" dxfId="1" priority="2" operator="between">
      <formula>800</formula>
      <formula>1675</formula>
    </cfRule>
    <cfRule type="cellIs" priority="3" operator="between">
      <formula>800</formula>
      <formula>1675</formula>
    </cfRule>
  </conditionalFormatting>
  <conditionalFormatting sqref="K13">
    <cfRule type="containsText" dxfId="0" priority="1" operator="containsText" text="No">
      <formula>NOT(ISERROR(SEARCH("No",K13)))</formula>
    </cfRule>
  </conditionalFormatting>
  <dataValidations count="8">
    <dataValidation type="whole" allowBlank="1" showInputMessage="1" showErrorMessage="1" sqref="J8">
      <formula1>800</formula1>
      <formula2>1675</formula2>
    </dataValidation>
    <dataValidation type="decimal" allowBlank="1" showInputMessage="1" showErrorMessage="1" sqref="J10">
      <formula1>0</formula1>
      <formula2>50</formula2>
    </dataValidation>
    <dataValidation type="list" allowBlank="1" showInputMessage="1" showErrorMessage="1" sqref="J7">
      <formula1>"1,2"</formula1>
    </dataValidation>
    <dataValidation type="list" allowBlank="1" showInputMessage="1" showErrorMessage="1" sqref="J6">
      <formula1>"PC,APC"</formula1>
    </dataValidation>
    <dataValidation type="list" allowBlank="1" showInputMessage="1" showErrorMessage="1" sqref="J5:K5">
      <formula1>"SM-1 cord,SM-2 cords,SM-3 cords,14763-3 SM Ch.,14763-3 SM Link,MM-1 cord,MM-2 cords,MM-3 cords,14763-3 MM Ch.,14763-3 MM Link"</formula1>
    </dataValidation>
    <dataValidation type="whole" allowBlank="1" showInputMessage="1" showErrorMessage="1" sqref="J9">
      <formula1>0</formula1>
      <formula2>100</formula2>
    </dataValidation>
    <dataValidation type="whole" allowBlank="1" showInputMessage="1" showErrorMessage="1" sqref="J12">
      <formula1>-40</formula1>
      <formula2>20</formula2>
    </dataValidation>
    <dataValidation type="decimal" allowBlank="1" showInputMessage="1" showErrorMessage="1" sqref="J11">
      <formula1>0.01</formula1>
      <formula2>250</formula2>
    </dataValidation>
  </dataValidations>
  <printOptions horizontalCentered="1"/>
  <pageMargins left="0.23622047244094491" right="0.23622047244094491" top="0.55118110236220474" bottom="0.55118110236220474" header="0.11811023622047245" footer="0.11811023622047245"/>
  <pageSetup paperSize="9" scale="73" fitToWidth="0" fitToHeight="0" orientation="landscape" r:id="rId1"/>
  <headerFooter>
    <oddHeader>&amp;C&amp;F</oddHeader>
    <oddFooter>Page &amp;P</oddFooter>
    <evenHeader>&amp;C&amp;F</evenHeader>
    <evenFooter>&amp;CPage &amp;P</evenFooter>
    <firstHeader>&amp;C&amp;F</firstHeader>
    <firstFooter>&amp;CPage &amp;P</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B1:X48"/>
  <sheetViews>
    <sheetView workbookViewId="0">
      <selection activeCell="O26" sqref="O26:O27"/>
    </sheetView>
  </sheetViews>
  <sheetFormatPr baseColWidth="10" defaultColWidth="11.42578125" defaultRowHeight="12.75" x14ac:dyDescent="0.2"/>
  <cols>
    <col min="1" max="1" width="7.28515625" customWidth="1"/>
    <col min="2" max="2" width="9.85546875" customWidth="1"/>
    <col min="3" max="3" width="90" style="32" customWidth="1"/>
    <col min="4" max="4" width="11.85546875" style="32" customWidth="1"/>
    <col min="5" max="5" width="8.140625" customWidth="1"/>
    <col min="6" max="6" width="13.42578125" customWidth="1"/>
    <col min="7" max="8" width="10.7109375" customWidth="1"/>
    <col min="9" max="9" width="9.85546875" customWidth="1"/>
    <col min="10" max="10" width="8.85546875" customWidth="1"/>
    <col min="11" max="13" width="11.42578125" customWidth="1"/>
    <col min="14" max="14" width="12.42578125" bestFit="1" customWidth="1"/>
    <col min="15" max="15" width="12.140625" customWidth="1"/>
    <col min="16" max="16" width="15" customWidth="1"/>
    <col min="17" max="17" width="11.42578125" customWidth="1"/>
    <col min="18" max="18" width="12.42578125" customWidth="1"/>
    <col min="19" max="19" width="11.42578125" customWidth="1"/>
  </cols>
  <sheetData>
    <row r="1" spans="2:24" ht="13.5" thickBot="1" x14ac:dyDescent="0.25"/>
    <row r="2" spans="2:24" ht="37.5" customHeight="1" thickBot="1" x14ac:dyDescent="0.25">
      <c r="C2" s="121" t="s">
        <v>88</v>
      </c>
      <c r="D2" s="121"/>
      <c r="E2" s="121"/>
      <c r="F2" s="121"/>
      <c r="G2" s="121"/>
      <c r="J2" s="122" t="s">
        <v>92</v>
      </c>
      <c r="K2" s="123"/>
      <c r="L2" s="123"/>
      <c r="M2" s="124"/>
    </row>
    <row r="3" spans="2:24" x14ac:dyDescent="0.2">
      <c r="B3" s="137"/>
      <c r="C3" s="137"/>
      <c r="D3" s="29"/>
    </row>
    <row r="4" spans="2:24" ht="51" customHeight="1" x14ac:dyDescent="0.2">
      <c r="B4" s="42" t="s">
        <v>34</v>
      </c>
      <c r="C4" s="113" t="s">
        <v>28</v>
      </c>
      <c r="D4" s="114" t="s">
        <v>30</v>
      </c>
      <c r="E4" s="113" t="s">
        <v>31</v>
      </c>
      <c r="F4" s="114" t="s">
        <v>32</v>
      </c>
      <c r="G4" s="114" t="s">
        <v>25</v>
      </c>
      <c r="H4" s="114" t="s">
        <v>21</v>
      </c>
      <c r="I4" s="114" t="s">
        <v>87</v>
      </c>
      <c r="J4" s="115" t="s">
        <v>86</v>
      </c>
      <c r="K4" s="138" t="s">
        <v>35</v>
      </c>
      <c r="L4" s="139"/>
      <c r="M4" s="140"/>
      <c r="P4" s="72"/>
      <c r="Q4" s="72"/>
      <c r="R4" s="72"/>
      <c r="S4" s="72"/>
      <c r="T4" s="72"/>
      <c r="U4" s="72"/>
      <c r="V4" s="72"/>
      <c r="W4" s="72"/>
      <c r="X4" s="72"/>
    </row>
    <row r="5" spans="2:24" ht="12.75" customHeight="1" x14ac:dyDescent="0.2">
      <c r="B5" s="43" t="s">
        <v>47</v>
      </c>
      <c r="C5" s="111" t="s">
        <v>116</v>
      </c>
      <c r="D5" s="36" t="s">
        <v>46</v>
      </c>
      <c r="E5" s="44" t="s">
        <v>25</v>
      </c>
      <c r="F5" s="44" t="s">
        <v>37</v>
      </c>
      <c r="G5" s="106">
        <f>23*H5</f>
        <v>1.1500000000000001</v>
      </c>
      <c r="H5" s="52">
        <v>0.05</v>
      </c>
      <c r="I5" s="38">
        <v>1</v>
      </c>
      <c r="J5" s="88">
        <v>200</v>
      </c>
      <c r="K5" s="129" t="s">
        <v>93</v>
      </c>
      <c r="L5" s="130"/>
      <c r="M5" s="131"/>
      <c r="N5" s="45">
        <v>3.992E+20</v>
      </c>
      <c r="O5" s="45">
        <v>-1844000000000000</v>
      </c>
      <c r="P5" s="73">
        <f>$L$4+$M$4*$A29+$N$4*$A29^2+$O$4*$A29^3+$P$4*$A29^4+$Q$4*$A29^5+$R$4*($A29^6)</f>
        <v>0</v>
      </c>
      <c r="Q5" s="74"/>
      <c r="R5" s="74"/>
      <c r="S5" s="74"/>
      <c r="T5" s="74"/>
      <c r="U5" s="74"/>
      <c r="V5" s="74"/>
      <c r="W5" s="74"/>
      <c r="X5" s="74"/>
    </row>
    <row r="6" spans="2:24" ht="12.75" customHeight="1" x14ac:dyDescent="0.2">
      <c r="B6" s="43" t="s">
        <v>48</v>
      </c>
      <c r="C6" s="111" t="s">
        <v>118</v>
      </c>
      <c r="D6" s="36" t="s">
        <v>36</v>
      </c>
      <c r="E6" s="44" t="s">
        <v>25</v>
      </c>
      <c r="F6" s="44" t="s">
        <v>38</v>
      </c>
      <c r="G6" s="106">
        <f>100000*Uncertainties_estimation!J11*Uncertainties_estimation!J9*IF(OR(Uncertainties_estimation!J5="SM-1 cord",Uncertainties_estimation!J5="SM-2 cords",Uncertainties_estimation!J5="SM-3 cords",Uncertainties_estimation!J5="14763-3 SM Ch.",Uncertainties_estimation!J5="14763-3 SM Link"),IF(Uncertainties_estimation!J8&lt;1385,S8+2*T8*Uncertainties_estimation!J8+3*U8*Uncertainties_estimation!J8^2+4*V8*Uncertainties_estimation!J8^3+5*W8*Uncertainties_estimation!J8^4+6*X8*Uncertainties_estimation!J8^5,S9+2*T9*Uncertainties_estimation!J8+3*U9*Uncertainties_estimation!J8^2+4*V9*Uncertainties_estimation!J8^3+5*W9*Uncertainties_estimation!J8^4+6*X9*Uncertainties_estimation!J8^5),(S7+2*T7*Uncertainties_estimation!J8+3*U7*Uncertainties_estimation!J8^2+4*V7*Uncertainties_estimation!J8^3+5*W7*Uncertainties_estimation!J8^4+6*X7*Uncertainties_estimation!J8^5))</f>
        <v>-1.1980094999982249</v>
      </c>
      <c r="H6" s="52">
        <f>0.0434*ABS(G6)</f>
        <v>5.1993612299922963E-2</v>
      </c>
      <c r="I6" s="38">
        <f t="shared" ref="I6:I20" si="0">IF(F6="Rectangular (1)", SQRT(3),IF(F6="Rectangular (2)",2*SQRT(3),IF(F6="Normal (2)",2,IF(F6="Normal (3)",3,1))))</f>
        <v>2</v>
      </c>
      <c r="J6" s="89">
        <v>200</v>
      </c>
      <c r="K6" s="129" t="s">
        <v>63</v>
      </c>
      <c r="L6" s="130"/>
      <c r="M6" s="131"/>
      <c r="N6" s="45">
        <f>(3*N5*(Uncertainties_estimation!J8*0.000000001)^2+2*Uncertainties_sources!O5*(Uncertainties_estimation!J8*0.000000001)+Uncertainties_sources!P5)*(Uncertainties_estimation!J9*0.000000001)</f>
        <v>-85.174980000000005</v>
      </c>
      <c r="O6" s="54"/>
      <c r="P6" s="75"/>
      <c r="Q6" s="76" t="s">
        <v>65</v>
      </c>
      <c r="R6" s="77" t="s">
        <v>66</v>
      </c>
      <c r="S6" s="77" t="s">
        <v>67</v>
      </c>
      <c r="T6" s="77" t="s">
        <v>68</v>
      </c>
      <c r="U6" s="77" t="s">
        <v>69</v>
      </c>
      <c r="V6" s="77" t="s">
        <v>70</v>
      </c>
      <c r="W6" s="77" t="s">
        <v>71</v>
      </c>
      <c r="X6" s="77" t="s">
        <v>72</v>
      </c>
    </row>
    <row r="7" spans="2:24" ht="12.75" customHeight="1" x14ac:dyDescent="0.2">
      <c r="B7" s="43" t="s">
        <v>49</v>
      </c>
      <c r="C7" s="111" t="s">
        <v>117</v>
      </c>
      <c r="D7" s="36" t="s">
        <v>36</v>
      </c>
      <c r="E7" s="44" t="s">
        <v>25</v>
      </c>
      <c r="F7" s="44" t="s">
        <v>37</v>
      </c>
      <c r="G7" s="106">
        <f>IF(Uncertainties_estimation!J8&lt;1075,IF((Uncertainties_estimation!J10-2.35*Uncertainties_estimation!J11)&lt;0.08,0.08*23,23*0.1*(Uncertainties_estimation!J10-2.35*Uncertainties_estimation!J11)),IF((Uncertainties_estimation!J10-0.56*Uncertainties_estimation!J11)&lt;0.12,0.12*23,23*0.2*(Uncertainties_estimation!J10-0.56*Uncertainties_estimation!J11)))</f>
        <v>2.76</v>
      </c>
      <c r="H7" s="52">
        <f>0.0434*ABS(G7)</f>
        <v>0.11978399999999999</v>
      </c>
      <c r="I7" s="38">
        <f t="shared" si="0"/>
        <v>1.7320508075688772</v>
      </c>
      <c r="J7" s="119">
        <f>IF(Uncertainties_estimation!J8&lt;1075,3.7,4.5)</f>
        <v>4.5</v>
      </c>
      <c r="K7" s="129" t="s">
        <v>64</v>
      </c>
      <c r="L7" s="130"/>
      <c r="M7" s="131"/>
      <c r="N7" s="46"/>
      <c r="O7" s="47"/>
      <c r="P7" s="78" t="s">
        <v>73</v>
      </c>
      <c r="Q7" s="78" t="s">
        <v>74</v>
      </c>
      <c r="R7" s="79">
        <v>0.52418799999999999</v>
      </c>
      <c r="S7" s="79">
        <v>-2.9378300000000002E-3</v>
      </c>
      <c r="T7" s="79">
        <v>6.8503600000000003E-6</v>
      </c>
      <c r="U7" s="79">
        <v>-8.4858800000000005E-9</v>
      </c>
      <c r="V7" s="79">
        <v>5.8835499999999999E-12</v>
      </c>
      <c r="W7" s="79">
        <v>-2.1638000000000002E-15</v>
      </c>
      <c r="X7" s="79">
        <v>3.2972499999999999E-19</v>
      </c>
    </row>
    <row r="8" spans="2:24" ht="12.75" customHeight="1" x14ac:dyDescent="0.2">
      <c r="B8" s="43" t="s">
        <v>50</v>
      </c>
      <c r="C8" s="111" t="s">
        <v>119</v>
      </c>
      <c r="D8" s="36" t="s">
        <v>36</v>
      </c>
      <c r="E8" s="44" t="s">
        <v>25</v>
      </c>
      <c r="F8" s="44" t="s">
        <v>37</v>
      </c>
      <c r="G8" s="107">
        <f>IF(Uncertainties_estimation!J7=1,0.005*23,IF(Uncertainties_estimation!J7=2,0,""))</f>
        <v>0.115</v>
      </c>
      <c r="H8" s="52">
        <f t="shared" ref="H8" si="1">0.0434*ABS(G8)</f>
        <v>4.9910000000000006E-3</v>
      </c>
      <c r="I8" s="38">
        <f t="shared" si="0"/>
        <v>1.7320508075688772</v>
      </c>
      <c r="J8" s="88">
        <v>200</v>
      </c>
      <c r="K8" s="129" t="s">
        <v>39</v>
      </c>
      <c r="L8" s="130"/>
      <c r="M8" s="131"/>
      <c r="N8" s="46">
        <f>(3*399200000000000000000*(Uncertainties_estimation!$J$8*0.000000001)^2+2*-1844000000000000*(Uncertainties_estimation!$J$8*0.000000001)+2838000000)*(Uncertainties_estimation!$J$9*0.000000001)</f>
        <v>-3.4980000000000004E-2</v>
      </c>
      <c r="O8" s="46" t="s">
        <v>21</v>
      </c>
      <c r="P8" s="78" t="s">
        <v>75</v>
      </c>
      <c r="Q8" s="78" t="s">
        <v>76</v>
      </c>
      <c r="R8" s="79">
        <v>-7.5107999999999994E-2</v>
      </c>
      <c r="S8" s="79">
        <v>1.71989E-4</v>
      </c>
      <c r="T8" s="79">
        <v>-1.30954E-7</v>
      </c>
      <c r="U8" s="79">
        <v>3.3188099999999999E-11</v>
      </c>
      <c r="V8" s="78">
        <v>0</v>
      </c>
      <c r="W8" s="78">
        <v>0</v>
      </c>
      <c r="X8" s="78">
        <v>0</v>
      </c>
    </row>
    <row r="9" spans="2:24" ht="12.75" customHeight="1" x14ac:dyDescent="0.2">
      <c r="B9" s="43" t="s">
        <v>51</v>
      </c>
      <c r="C9" s="111" t="s">
        <v>120</v>
      </c>
      <c r="D9" s="36" t="s">
        <v>36</v>
      </c>
      <c r="E9" s="44" t="s">
        <v>25</v>
      </c>
      <c r="F9" s="44" t="s">
        <v>37</v>
      </c>
      <c r="G9" s="106">
        <f>23*H9</f>
        <v>0.115</v>
      </c>
      <c r="H9" s="52">
        <v>5.0000000000000001E-3</v>
      </c>
      <c r="I9" s="38">
        <f t="shared" si="0"/>
        <v>1.7320508075688772</v>
      </c>
      <c r="J9" s="90">
        <v>9.9999999999999997E+98</v>
      </c>
      <c r="K9" s="129" t="s">
        <v>96</v>
      </c>
      <c r="L9" s="130"/>
      <c r="M9" s="131"/>
      <c r="N9" s="46"/>
      <c r="O9" s="46"/>
      <c r="P9" s="78" t="s">
        <v>75</v>
      </c>
      <c r="Q9" s="78" t="s">
        <v>77</v>
      </c>
      <c r="R9" s="79">
        <v>0.13755999999999999</v>
      </c>
      <c r="S9" s="79">
        <v>-3.6239399999999999E-4</v>
      </c>
      <c r="T9" s="79">
        <v>3.5867900000000001E-7</v>
      </c>
      <c r="U9" s="79">
        <v>-1.5798699999999999E-10</v>
      </c>
      <c r="V9" s="79">
        <v>2.6124699999999999E-14</v>
      </c>
      <c r="W9" s="78">
        <v>0</v>
      </c>
      <c r="X9" s="78">
        <v>0</v>
      </c>
    </row>
    <row r="10" spans="2:24" ht="12.75" customHeight="1" x14ac:dyDescent="0.2">
      <c r="B10" s="43" t="s">
        <v>52</v>
      </c>
      <c r="C10" s="111" t="s">
        <v>121</v>
      </c>
      <c r="D10" s="36" t="s">
        <v>36</v>
      </c>
      <c r="E10" s="44" t="s">
        <v>25</v>
      </c>
      <c r="F10" s="44" t="s">
        <v>37</v>
      </c>
      <c r="G10" s="106">
        <v>0</v>
      </c>
      <c r="H10" s="52">
        <f>0.0434*ABS(G10)</f>
        <v>0</v>
      </c>
      <c r="I10" s="38">
        <f t="shared" si="0"/>
        <v>1.7320508075688772</v>
      </c>
      <c r="J10" s="88">
        <v>200</v>
      </c>
      <c r="K10" s="129" t="s">
        <v>40</v>
      </c>
      <c r="L10" s="130"/>
      <c r="M10" s="131"/>
      <c r="N10" s="46">
        <f>ABS((10^(((3*399200000000000000000*(Uncertainties_estimation!$J$8*0.000000001)^2+2*-1844000000000000*(Uncertainties_estimation!$J$8*0.000000001)+2838000000)*(Uncertainties_estimation!$J$9*0.000000001))/10)-1)*100)</f>
        <v>0.80220925443527102</v>
      </c>
      <c r="O10" s="46"/>
      <c r="P10" s="74">
        <v>0.5355237751153874</v>
      </c>
      <c r="Q10" s="74"/>
      <c r="R10" s="74"/>
      <c r="S10" s="74"/>
      <c r="T10" s="74"/>
      <c r="U10" s="74"/>
      <c r="V10" s="74"/>
      <c r="W10" s="74"/>
      <c r="X10" s="74"/>
    </row>
    <row r="11" spans="2:24" ht="12.75" customHeight="1" x14ac:dyDescent="0.2">
      <c r="B11" s="43" t="s">
        <v>53</v>
      </c>
      <c r="C11" s="111" t="s">
        <v>122</v>
      </c>
      <c r="D11" s="36" t="s">
        <v>36</v>
      </c>
      <c r="E11" s="44" t="s">
        <v>25</v>
      </c>
      <c r="F11" s="44" t="s">
        <v>37</v>
      </c>
      <c r="G11" s="106">
        <f>IF(Uncertainties_estimation!J6="APC",0.01*23,IF(Uncertainties_estimation!J6="PC",0.005*23,""))</f>
        <v>0.115</v>
      </c>
      <c r="H11" s="52">
        <f>0.0434*ABS(G11)</f>
        <v>4.9910000000000006E-3</v>
      </c>
      <c r="I11" s="38">
        <f t="shared" si="0"/>
        <v>1.7320508075688772</v>
      </c>
      <c r="J11" s="88">
        <v>200</v>
      </c>
      <c r="K11" s="129" t="s">
        <v>79</v>
      </c>
      <c r="L11" s="130"/>
      <c r="M11" s="131"/>
      <c r="N11" s="46"/>
      <c r="O11" s="46"/>
      <c r="P11" s="74"/>
      <c r="Q11" s="74"/>
      <c r="R11" s="74"/>
      <c r="S11" s="74"/>
      <c r="T11" s="74"/>
      <c r="U11" s="74"/>
      <c r="V11" s="74"/>
      <c r="W11" s="74"/>
      <c r="X11" s="74"/>
    </row>
    <row r="12" spans="2:24" ht="12.75" customHeight="1" x14ac:dyDescent="0.2">
      <c r="B12" s="43" t="s">
        <v>54</v>
      </c>
      <c r="C12" s="111" t="s">
        <v>123</v>
      </c>
      <c r="D12" s="36" t="s">
        <v>36</v>
      </c>
      <c r="E12" s="44" t="s">
        <v>25</v>
      </c>
      <c r="F12" s="44" t="s">
        <v>37</v>
      </c>
      <c r="G12" s="106">
        <f>0.00000001/((Uncertainties_estimation!J12-Uncertainties_estimation!J10)*0.23)</f>
        <v>-2.8985507246376811E-9</v>
      </c>
      <c r="H12" s="52">
        <f t="shared" ref="H12:H14" si="2">0.0434*ABS(G12)</f>
        <v>1.2579710144927536E-10</v>
      </c>
      <c r="I12" s="38">
        <f t="shared" si="0"/>
        <v>1.7320508075688772</v>
      </c>
      <c r="J12" s="88">
        <v>20000</v>
      </c>
      <c r="K12" s="129" t="s">
        <v>81</v>
      </c>
      <c r="L12" s="130"/>
      <c r="M12" s="131"/>
      <c r="P12" s="74"/>
      <c r="Q12" s="74"/>
      <c r="R12" s="74"/>
      <c r="S12" s="74"/>
      <c r="T12" s="74"/>
      <c r="U12" s="74"/>
      <c r="V12" s="74"/>
      <c r="W12" s="74"/>
      <c r="X12" s="74"/>
    </row>
    <row r="13" spans="2:24" ht="12.75" customHeight="1" x14ac:dyDescent="0.2">
      <c r="B13" s="43" t="s">
        <v>55</v>
      </c>
      <c r="C13" s="111" t="s">
        <v>124</v>
      </c>
      <c r="D13" s="48" t="s">
        <v>36</v>
      </c>
      <c r="E13" s="49" t="s">
        <v>25</v>
      </c>
      <c r="F13" s="49" t="s">
        <v>38</v>
      </c>
      <c r="G13" s="108">
        <v>0.1</v>
      </c>
      <c r="H13" s="52">
        <f t="shared" si="2"/>
        <v>4.3400000000000001E-3</v>
      </c>
      <c r="I13" s="50">
        <f t="shared" si="0"/>
        <v>2</v>
      </c>
      <c r="J13" s="88">
        <v>200</v>
      </c>
      <c r="K13" s="132">
        <v>1E-3</v>
      </c>
      <c r="L13" s="133"/>
      <c r="M13" s="134"/>
      <c r="P13" s="74"/>
      <c r="Q13" s="74"/>
      <c r="R13" s="74"/>
      <c r="S13" s="74"/>
      <c r="T13" s="74"/>
      <c r="U13" s="74"/>
      <c r="V13" s="74"/>
      <c r="W13" s="74"/>
      <c r="X13" s="74"/>
    </row>
    <row r="14" spans="2:24" ht="12.75" customHeight="1" x14ac:dyDescent="0.2">
      <c r="B14" s="43" t="s">
        <v>56</v>
      </c>
      <c r="C14" s="112" t="s">
        <v>125</v>
      </c>
      <c r="D14" s="48" t="s">
        <v>36</v>
      </c>
      <c r="E14" s="49" t="s">
        <v>25</v>
      </c>
      <c r="F14" s="49" t="s">
        <v>38</v>
      </c>
      <c r="G14" s="108">
        <f>IF(Uncertainties_estimation!J7=2,0.2*23,IF(Uncertainties_estimation!J7=1,0,""))</f>
        <v>0</v>
      </c>
      <c r="H14" s="52">
        <f t="shared" si="2"/>
        <v>0</v>
      </c>
      <c r="I14" s="50">
        <v>2</v>
      </c>
      <c r="J14" s="88">
        <v>200</v>
      </c>
      <c r="K14" s="129" t="s">
        <v>89</v>
      </c>
      <c r="L14" s="130"/>
      <c r="M14" s="131"/>
      <c r="P14" s="72"/>
      <c r="Q14" s="72"/>
      <c r="R14" s="72"/>
      <c r="S14" s="72"/>
      <c r="T14" s="72"/>
      <c r="U14" s="72"/>
      <c r="V14" s="72"/>
      <c r="W14" s="72"/>
      <c r="X14" s="72"/>
    </row>
    <row r="15" spans="2:24" ht="12.75" customHeight="1" x14ac:dyDescent="0.2">
      <c r="B15" s="43" t="s">
        <v>57</v>
      </c>
      <c r="C15" s="112" t="s">
        <v>126</v>
      </c>
      <c r="D15" s="48" t="s">
        <v>36</v>
      </c>
      <c r="E15" s="49" t="s">
        <v>25</v>
      </c>
      <c r="F15" s="49" t="s">
        <v>37</v>
      </c>
      <c r="G15" s="106">
        <f t="shared" ref="G15:G16" si="3">23*H15</f>
        <v>2.3000000000000003</v>
      </c>
      <c r="H15" s="52">
        <v>0.1</v>
      </c>
      <c r="I15" s="50">
        <f t="shared" si="0"/>
        <v>1.7320508075688772</v>
      </c>
      <c r="J15" s="88">
        <v>5000</v>
      </c>
      <c r="K15" s="129"/>
      <c r="L15" s="130"/>
      <c r="M15" s="131"/>
      <c r="N15" t="s">
        <v>26</v>
      </c>
    </row>
    <row r="16" spans="2:24" ht="12.75" customHeight="1" x14ac:dyDescent="0.2">
      <c r="B16" s="43" t="s">
        <v>58</v>
      </c>
      <c r="C16" s="112" t="s">
        <v>127</v>
      </c>
      <c r="D16" s="36" t="s">
        <v>36</v>
      </c>
      <c r="E16" s="44" t="s">
        <v>25</v>
      </c>
      <c r="F16" s="44" t="s">
        <v>37</v>
      </c>
      <c r="G16" s="106">
        <f t="shared" si="3"/>
        <v>1.1500000000000001</v>
      </c>
      <c r="H16" s="52">
        <v>0.05</v>
      </c>
      <c r="I16" s="38">
        <f t="shared" si="0"/>
        <v>1.7320508075688772</v>
      </c>
      <c r="J16" s="88">
        <v>5000</v>
      </c>
      <c r="K16" s="129"/>
      <c r="L16" s="130"/>
      <c r="M16" s="131"/>
    </row>
    <row r="17" spans="2:13" ht="12.75" customHeight="1" x14ac:dyDescent="0.2">
      <c r="B17" s="43" t="s">
        <v>59</v>
      </c>
      <c r="C17" s="111" t="s">
        <v>128</v>
      </c>
      <c r="D17" s="48" t="s">
        <v>36</v>
      </c>
      <c r="E17" s="48" t="s">
        <v>25</v>
      </c>
      <c r="F17" s="48" t="s">
        <v>37</v>
      </c>
      <c r="G17" s="106">
        <f>IF(Uncertainties_estimation!J6="APC",0.018*23,IF(Uncertainties_estimation!J6="PC",0,""))</f>
        <v>0</v>
      </c>
      <c r="H17" s="52">
        <f>0.0434*ABS(G17)</f>
        <v>0</v>
      </c>
      <c r="I17" s="53">
        <f t="shared" si="0"/>
        <v>1.7320508075688772</v>
      </c>
      <c r="J17" s="88">
        <v>200</v>
      </c>
      <c r="K17" s="129" t="s">
        <v>98</v>
      </c>
      <c r="L17" s="130"/>
      <c r="M17" s="131"/>
    </row>
    <row r="18" spans="2:13" ht="12.75" customHeight="1" x14ac:dyDescent="0.2">
      <c r="B18" s="51" t="s">
        <v>60</v>
      </c>
      <c r="C18" s="112" t="s">
        <v>126</v>
      </c>
      <c r="D18" s="48" t="s">
        <v>36</v>
      </c>
      <c r="E18" s="49" t="s">
        <v>25</v>
      </c>
      <c r="F18" s="49" t="s">
        <v>37</v>
      </c>
      <c r="G18" s="106">
        <f t="shared" ref="G18" si="4">23*H18</f>
        <v>2.3000000000000003</v>
      </c>
      <c r="H18" s="52">
        <v>0.1</v>
      </c>
      <c r="I18" s="50">
        <f t="shared" ref="I18" si="5">IF(F18="Rectangular (1)", SQRT(3),IF(F18="Rectangular (2)",2*SQRT(3),IF(F18="Normal (2)",2,IF(F18="Normal (3)",3,1))))</f>
        <v>1.7320508075688772</v>
      </c>
      <c r="J18" s="88">
        <v>5000</v>
      </c>
      <c r="K18" s="103"/>
      <c r="L18" s="104"/>
      <c r="M18" s="105"/>
    </row>
    <row r="19" spans="2:13" ht="12.75" customHeight="1" x14ac:dyDescent="0.2">
      <c r="B19" s="51" t="s">
        <v>61</v>
      </c>
      <c r="C19" s="111" t="s">
        <v>129</v>
      </c>
      <c r="D19" s="48" t="s">
        <v>36</v>
      </c>
      <c r="E19" s="48" t="s">
        <v>25</v>
      </c>
      <c r="F19" s="48" t="s">
        <v>37</v>
      </c>
      <c r="G19" s="106">
        <f>23*H19</f>
        <v>1.1500000000000001</v>
      </c>
      <c r="H19" s="52">
        <v>0.05</v>
      </c>
      <c r="I19" s="53">
        <f t="shared" si="0"/>
        <v>1.7320508075688772</v>
      </c>
      <c r="J19" s="88">
        <v>5000</v>
      </c>
      <c r="K19" s="129"/>
      <c r="L19" s="130"/>
      <c r="M19" s="131"/>
    </row>
    <row r="20" spans="2:13" ht="12.75" customHeight="1" x14ac:dyDescent="0.2">
      <c r="B20" s="51" t="s">
        <v>94</v>
      </c>
      <c r="C20" s="111" t="s">
        <v>130</v>
      </c>
      <c r="D20" s="36" t="s">
        <v>36</v>
      </c>
      <c r="E20" s="36" t="s">
        <v>25</v>
      </c>
      <c r="F20" s="36" t="s">
        <v>37</v>
      </c>
      <c r="G20" s="106">
        <f>IF(Uncertainties_estimation!J6="APC",0.018*23,IF(Uncertainties_estimation!J6="PC",0,""))</f>
        <v>0</v>
      </c>
      <c r="H20" s="52">
        <f>0.0434*ABS(G20)</f>
        <v>0</v>
      </c>
      <c r="I20" s="52">
        <f t="shared" si="0"/>
        <v>1.7320508075688772</v>
      </c>
      <c r="J20" s="88">
        <v>200</v>
      </c>
      <c r="K20" s="129" t="s">
        <v>98</v>
      </c>
      <c r="L20" s="130"/>
      <c r="M20" s="131"/>
    </row>
    <row r="21" spans="2:13" ht="12.75" customHeight="1" x14ac:dyDescent="0.2">
      <c r="B21" s="54"/>
      <c r="C21" s="55"/>
      <c r="D21" s="55"/>
      <c r="E21" s="32"/>
      <c r="F21" s="32"/>
      <c r="G21" s="56"/>
      <c r="H21" s="57"/>
      <c r="I21" s="19"/>
    </row>
    <row r="22" spans="2:13" ht="12.75" customHeight="1" x14ac:dyDescent="0.2">
      <c r="B22" s="54"/>
      <c r="C22" s="55"/>
      <c r="D22" s="55"/>
      <c r="E22" s="32"/>
      <c r="F22" s="32"/>
      <c r="G22" s="56"/>
      <c r="H22" s="57"/>
      <c r="I22" s="19"/>
    </row>
    <row r="23" spans="2:13" ht="12.75" customHeight="1" thickBot="1" x14ac:dyDescent="0.25"/>
    <row r="24" spans="2:13" ht="12.75" customHeight="1" x14ac:dyDescent="0.2">
      <c r="B24" s="58"/>
      <c r="C24" s="58"/>
      <c r="D24" s="136" t="s">
        <v>41</v>
      </c>
      <c r="E24" s="136"/>
      <c r="F24" s="136"/>
      <c r="G24" s="136"/>
      <c r="H24" s="136" t="s">
        <v>42</v>
      </c>
      <c r="I24" s="136"/>
      <c r="J24" s="136"/>
      <c r="K24" s="136"/>
    </row>
    <row r="25" spans="2:13" ht="41.25" customHeight="1" thickBot="1" x14ac:dyDescent="0.25">
      <c r="B25" s="59"/>
      <c r="C25" s="60"/>
      <c r="D25" s="87" t="s">
        <v>85</v>
      </c>
      <c r="E25" s="61" t="s">
        <v>43</v>
      </c>
      <c r="F25" s="61" t="s">
        <v>44</v>
      </c>
      <c r="G25" s="82" t="s">
        <v>83</v>
      </c>
      <c r="H25" s="87" t="s">
        <v>85</v>
      </c>
      <c r="I25" s="61" t="s">
        <v>43</v>
      </c>
      <c r="J25" s="61" t="s">
        <v>44</v>
      </c>
      <c r="K25" s="82" t="s">
        <v>84</v>
      </c>
      <c r="M25" s="80"/>
    </row>
    <row r="26" spans="2:13" ht="12.75" customHeight="1" thickBot="1" x14ac:dyDescent="0.25">
      <c r="B26" s="42" t="s">
        <v>34</v>
      </c>
      <c r="C26" s="42" t="s">
        <v>28</v>
      </c>
      <c r="D26" s="135" t="s">
        <v>45</v>
      </c>
      <c r="E26" s="135"/>
      <c r="F26" s="135"/>
      <c r="G26" s="135"/>
      <c r="H26" s="135"/>
      <c r="I26" s="135"/>
      <c r="J26" s="135"/>
      <c r="K26" s="135"/>
    </row>
    <row r="27" spans="2:13" ht="12.75" customHeight="1" x14ac:dyDescent="0.2">
      <c r="B27" s="43" t="s">
        <v>47</v>
      </c>
      <c r="C27" s="111" t="s">
        <v>116</v>
      </c>
      <c r="D27" s="62">
        <v>1.4139999999999999</v>
      </c>
      <c r="E27" s="63">
        <v>1.4139999999999999</v>
      </c>
      <c r="F27" s="63">
        <v>1.4139999999999999</v>
      </c>
      <c r="G27" s="63">
        <v>1.4139999999999999</v>
      </c>
      <c r="H27" s="63">
        <v>1.4139999999999999</v>
      </c>
      <c r="I27" s="63">
        <v>1.4139999999999999</v>
      </c>
      <c r="J27" s="63">
        <v>1.4139999999999999</v>
      </c>
      <c r="K27" s="64">
        <v>1.4139999999999999</v>
      </c>
    </row>
    <row r="28" spans="2:13" ht="12.75" customHeight="1" x14ac:dyDescent="0.2">
      <c r="B28" s="43" t="s">
        <v>48</v>
      </c>
      <c r="C28" s="111" t="s">
        <v>118</v>
      </c>
      <c r="D28" s="65">
        <v>1</v>
      </c>
      <c r="E28" s="38">
        <v>1</v>
      </c>
      <c r="F28" s="38">
        <v>1</v>
      </c>
      <c r="G28" s="38">
        <v>1</v>
      </c>
      <c r="H28" s="38">
        <v>1</v>
      </c>
      <c r="I28" s="38">
        <v>1</v>
      </c>
      <c r="J28" s="38">
        <v>1</v>
      </c>
      <c r="K28" s="66">
        <v>1</v>
      </c>
    </row>
    <row r="29" spans="2:13" ht="12.75" customHeight="1" x14ac:dyDescent="0.2">
      <c r="B29" s="43" t="s">
        <v>49</v>
      </c>
      <c r="C29" s="111" t="s">
        <v>117</v>
      </c>
      <c r="D29" s="65">
        <v>0</v>
      </c>
      <c r="E29" s="38">
        <v>0</v>
      </c>
      <c r="F29" s="38">
        <v>0</v>
      </c>
      <c r="G29" s="38">
        <v>0</v>
      </c>
      <c r="H29" s="38">
        <v>1</v>
      </c>
      <c r="I29" s="38">
        <v>1</v>
      </c>
      <c r="J29" s="38">
        <v>1</v>
      </c>
      <c r="K29" s="66">
        <v>1</v>
      </c>
    </row>
    <row r="30" spans="2:13" ht="12.75" customHeight="1" x14ac:dyDescent="0.2">
      <c r="B30" s="43" t="s">
        <v>50</v>
      </c>
      <c r="C30" s="111" t="s">
        <v>119</v>
      </c>
      <c r="D30" s="65">
        <v>1</v>
      </c>
      <c r="E30" s="38">
        <v>1</v>
      </c>
      <c r="F30" s="38">
        <v>1</v>
      </c>
      <c r="G30" s="38">
        <v>1</v>
      </c>
      <c r="H30" s="38">
        <v>1</v>
      </c>
      <c r="I30" s="38">
        <v>1</v>
      </c>
      <c r="J30" s="38">
        <v>1</v>
      </c>
      <c r="K30" s="66">
        <v>1</v>
      </c>
    </row>
    <row r="31" spans="2:13" ht="12.75" customHeight="1" x14ac:dyDescent="0.2">
      <c r="B31" s="43" t="s">
        <v>51</v>
      </c>
      <c r="C31" s="111" t="s">
        <v>120</v>
      </c>
      <c r="D31" s="65">
        <v>1.4139999999999999</v>
      </c>
      <c r="E31" s="38">
        <v>1.4139999999999999</v>
      </c>
      <c r="F31" s="38">
        <v>1.4139999999999999</v>
      </c>
      <c r="G31" s="38">
        <v>1.4139999999999999</v>
      </c>
      <c r="H31" s="38">
        <v>1.4139999999999999</v>
      </c>
      <c r="I31" s="38">
        <v>1.4139999999999999</v>
      </c>
      <c r="J31" s="38">
        <v>1.4139999999999999</v>
      </c>
      <c r="K31" s="66">
        <v>1.4139999999999999</v>
      </c>
    </row>
    <row r="32" spans="2:13" ht="12.75" customHeight="1" x14ac:dyDescent="0.2">
      <c r="B32" s="43" t="s">
        <v>52</v>
      </c>
      <c r="C32" s="111" t="s">
        <v>133</v>
      </c>
      <c r="D32" s="65">
        <v>1.4139999999999999</v>
      </c>
      <c r="E32" s="38">
        <v>1.4139999999999999</v>
      </c>
      <c r="F32" s="38">
        <v>1.4139999999999999</v>
      </c>
      <c r="G32" s="38">
        <v>1.4139999999999999</v>
      </c>
      <c r="H32" s="38">
        <v>0</v>
      </c>
      <c r="I32" s="38">
        <v>0</v>
      </c>
      <c r="J32" s="38">
        <v>0</v>
      </c>
      <c r="K32" s="66">
        <v>0</v>
      </c>
    </row>
    <row r="33" spans="2:11" ht="12.75" customHeight="1" x14ac:dyDescent="0.2">
      <c r="B33" s="43" t="s">
        <v>53</v>
      </c>
      <c r="C33" s="111" t="s">
        <v>122</v>
      </c>
      <c r="D33" s="65">
        <v>1.4139999999999999</v>
      </c>
      <c r="E33" s="38">
        <v>1.4139999999999999</v>
      </c>
      <c r="F33" s="38">
        <v>1.4139999999999999</v>
      </c>
      <c r="G33" s="38">
        <v>1.4139999999999999</v>
      </c>
      <c r="H33" s="38">
        <v>0</v>
      </c>
      <c r="I33" s="38">
        <v>0</v>
      </c>
      <c r="J33" s="38">
        <v>0</v>
      </c>
      <c r="K33" s="66">
        <v>0</v>
      </c>
    </row>
    <row r="34" spans="2:11" ht="12.75" customHeight="1" x14ac:dyDescent="0.2">
      <c r="B34" s="43" t="s">
        <v>54</v>
      </c>
      <c r="C34" s="111" t="s">
        <v>123</v>
      </c>
      <c r="D34" s="65">
        <v>1.4139999999999999</v>
      </c>
      <c r="E34" s="38">
        <v>1.4139999999999999</v>
      </c>
      <c r="F34" s="38">
        <v>1.4139999999999999</v>
      </c>
      <c r="G34" s="38">
        <v>1.4139999999999999</v>
      </c>
      <c r="H34" s="38">
        <v>1.4139999999999999</v>
      </c>
      <c r="I34" s="38">
        <v>1.4139999999999999</v>
      </c>
      <c r="J34" s="38">
        <v>1.4139999999999999</v>
      </c>
      <c r="K34" s="66">
        <v>1.4139999999999999</v>
      </c>
    </row>
    <row r="35" spans="2:11" ht="12.75" customHeight="1" x14ac:dyDescent="0.2">
      <c r="B35" s="43" t="s">
        <v>55</v>
      </c>
      <c r="C35" s="111" t="s">
        <v>124</v>
      </c>
      <c r="D35" s="65">
        <v>1.4139999999999999</v>
      </c>
      <c r="E35" s="38">
        <v>1.4139999999999999</v>
      </c>
      <c r="F35" s="38">
        <v>1.4139999999999999</v>
      </c>
      <c r="G35" s="38">
        <v>1.4139999999999999</v>
      </c>
      <c r="H35" s="38">
        <v>1.4139999999999999</v>
      </c>
      <c r="I35" s="38">
        <v>1.4139999999999999</v>
      </c>
      <c r="J35" s="38">
        <v>1.4139999999999999</v>
      </c>
      <c r="K35" s="66">
        <v>1.4139999999999999</v>
      </c>
    </row>
    <row r="36" spans="2:11" ht="12.75" customHeight="1" x14ac:dyDescent="0.2">
      <c r="B36" s="43" t="s">
        <v>56</v>
      </c>
      <c r="C36" s="112" t="s">
        <v>125</v>
      </c>
      <c r="D36" s="65">
        <v>1.4139999999999999</v>
      </c>
      <c r="E36" s="38">
        <v>1.4139999999999999</v>
      </c>
      <c r="F36" s="38">
        <v>1.4139999999999999</v>
      </c>
      <c r="G36" s="38">
        <v>1.4139999999999999</v>
      </c>
      <c r="H36" s="38">
        <v>1.4139999999999999</v>
      </c>
      <c r="I36" s="38">
        <v>1.4139999999999999</v>
      </c>
      <c r="J36" s="38">
        <v>1.4139999999999999</v>
      </c>
      <c r="K36" s="66">
        <v>1.4139999999999999</v>
      </c>
    </row>
    <row r="37" spans="2:11" ht="12.75" customHeight="1" x14ac:dyDescent="0.2">
      <c r="B37" s="43" t="s">
        <v>57</v>
      </c>
      <c r="C37" s="112" t="s">
        <v>126</v>
      </c>
      <c r="D37" s="65">
        <v>0</v>
      </c>
      <c r="E37" s="38">
        <v>1.4139999999999999</v>
      </c>
      <c r="F37" s="38">
        <v>1</v>
      </c>
      <c r="G37" s="83">
        <v>0</v>
      </c>
      <c r="H37" s="83">
        <v>0</v>
      </c>
      <c r="I37" s="83">
        <v>1.4139999999999999</v>
      </c>
      <c r="J37" s="83">
        <v>1</v>
      </c>
      <c r="K37" s="84">
        <v>0</v>
      </c>
    </row>
    <row r="38" spans="2:11" ht="12.75" customHeight="1" x14ac:dyDescent="0.2">
      <c r="B38" s="43" t="s">
        <v>58</v>
      </c>
      <c r="C38" s="112" t="s">
        <v>132</v>
      </c>
      <c r="D38" s="65">
        <v>0</v>
      </c>
      <c r="E38" s="38">
        <v>1.4139999999999999</v>
      </c>
      <c r="F38" s="38">
        <v>1</v>
      </c>
      <c r="G38" s="83">
        <v>0</v>
      </c>
      <c r="H38" s="83">
        <v>0</v>
      </c>
      <c r="I38" s="83">
        <v>1.4139999999999999</v>
      </c>
      <c r="J38" s="83">
        <v>1</v>
      </c>
      <c r="K38" s="84">
        <v>0</v>
      </c>
    </row>
    <row r="39" spans="2:11" ht="12.75" customHeight="1" x14ac:dyDescent="0.2">
      <c r="B39" s="43" t="s">
        <v>59</v>
      </c>
      <c r="C39" s="111" t="s">
        <v>131</v>
      </c>
      <c r="D39" s="65">
        <v>1</v>
      </c>
      <c r="E39" s="38">
        <v>1.732</v>
      </c>
      <c r="F39" s="38">
        <v>1.4139999999999999</v>
      </c>
      <c r="G39" s="83">
        <v>1</v>
      </c>
      <c r="H39" s="83">
        <v>0</v>
      </c>
      <c r="I39" s="83">
        <v>0</v>
      </c>
      <c r="J39" s="83">
        <v>0</v>
      </c>
      <c r="K39" s="84">
        <v>0</v>
      </c>
    </row>
    <row r="40" spans="2:11" ht="12.75" customHeight="1" x14ac:dyDescent="0.2">
      <c r="B40" s="51" t="s">
        <v>60</v>
      </c>
      <c r="C40" s="112" t="s">
        <v>126</v>
      </c>
      <c r="D40" s="65">
        <v>1.4139999999999999</v>
      </c>
      <c r="E40" s="38">
        <v>1.4139999999999999</v>
      </c>
      <c r="F40" s="38">
        <v>1.4139999999999999</v>
      </c>
      <c r="G40" s="83">
        <v>0</v>
      </c>
      <c r="H40" s="83">
        <v>1.4139999999999999</v>
      </c>
      <c r="I40" s="83">
        <v>1.4139999999999999</v>
      </c>
      <c r="J40" s="83">
        <v>1.4139999999999999</v>
      </c>
      <c r="K40" s="84">
        <v>0</v>
      </c>
    </row>
    <row r="41" spans="2:11" ht="12.75" customHeight="1" x14ac:dyDescent="0.2">
      <c r="B41" s="51" t="s">
        <v>61</v>
      </c>
      <c r="C41" s="111" t="s">
        <v>129</v>
      </c>
      <c r="D41" s="65">
        <v>1.4139999999999999</v>
      </c>
      <c r="E41" s="38">
        <v>1.4139999999999999</v>
      </c>
      <c r="F41" s="38">
        <v>1.4139999999999999</v>
      </c>
      <c r="G41" s="83">
        <v>0</v>
      </c>
      <c r="H41" s="83">
        <v>1.4139999999999999</v>
      </c>
      <c r="I41" s="83">
        <v>1.4139999999999999</v>
      </c>
      <c r="J41" s="83">
        <v>1.4139999999999999</v>
      </c>
      <c r="K41" s="84">
        <v>0</v>
      </c>
    </row>
    <row r="42" spans="2:11" ht="12.75" customHeight="1" thickBot="1" x14ac:dyDescent="0.25">
      <c r="B42" s="51" t="s">
        <v>94</v>
      </c>
      <c r="C42" s="111" t="s">
        <v>130</v>
      </c>
      <c r="D42" s="67">
        <v>1.732</v>
      </c>
      <c r="E42" s="68">
        <v>1.732</v>
      </c>
      <c r="F42" s="68">
        <v>1.732</v>
      </c>
      <c r="G42" s="85">
        <v>1.732</v>
      </c>
      <c r="H42" s="85">
        <v>0</v>
      </c>
      <c r="I42" s="85">
        <v>0</v>
      </c>
      <c r="J42" s="85">
        <v>0</v>
      </c>
      <c r="K42" s="86">
        <v>0</v>
      </c>
    </row>
    <row r="43" spans="2:11" ht="24.95" customHeight="1" x14ac:dyDescent="0.2">
      <c r="C43"/>
      <c r="D43"/>
    </row>
    <row r="44" spans="2:11" x14ac:dyDescent="0.2">
      <c r="C44"/>
      <c r="D44"/>
    </row>
    <row r="45" spans="2:11" x14ac:dyDescent="0.2">
      <c r="C45"/>
      <c r="D45"/>
    </row>
    <row r="46" spans="2:11" x14ac:dyDescent="0.2">
      <c r="C46"/>
      <c r="D46"/>
    </row>
    <row r="47" spans="2:11" x14ac:dyDescent="0.2">
      <c r="C47"/>
      <c r="D47"/>
    </row>
    <row r="48" spans="2:11" x14ac:dyDescent="0.2">
      <c r="C48"/>
      <c r="D48"/>
    </row>
  </sheetData>
  <mergeCells count="22">
    <mergeCell ref="C2:G2"/>
    <mergeCell ref="J2:M2"/>
    <mergeCell ref="D26:K26"/>
    <mergeCell ref="D24:G24"/>
    <mergeCell ref="H24:K24"/>
    <mergeCell ref="B3:C3"/>
    <mergeCell ref="K4:M4"/>
    <mergeCell ref="K5:M5"/>
    <mergeCell ref="K6:M6"/>
    <mergeCell ref="K7:M7"/>
    <mergeCell ref="K8:M8"/>
    <mergeCell ref="K9:M9"/>
    <mergeCell ref="K10:M10"/>
    <mergeCell ref="K11:M11"/>
    <mergeCell ref="K12:M12"/>
    <mergeCell ref="K19:M19"/>
    <mergeCell ref="K20:M20"/>
    <mergeCell ref="K13:M13"/>
    <mergeCell ref="K14:M14"/>
    <mergeCell ref="K15:M15"/>
    <mergeCell ref="K16:M16"/>
    <mergeCell ref="K17:M17"/>
  </mergeCells>
  <printOptions horizontalCentered="1" verticalCentered="1"/>
  <pageMargins left="0.23622047244094491" right="0.23622047244094491" top="0.74803149606299213" bottom="0.74803149606299213" header="0.31496062992125984" footer="0.31496062992125984"/>
  <pageSetup paperSize="9" scale="70" fitToWidth="0" fitToHeight="0" orientation="landscape" r:id="rId1"/>
  <headerFooter alignWithMargins="0">
    <oddHeader>&amp;C&amp;F</oddHeader>
    <oddFooter>&amp;CPage &amp;P de &amp;N</oddFooter>
    <evenHeader>&amp;C&amp;F</evenHeader>
    <evenFooter>&amp;CPage &amp;P de &amp;N</evenFooter>
    <firstHeader>&amp;C&amp;F</firstHeader>
    <firstFooter>&amp;CPage &amp;P de &amp;N</firstFooter>
  </headerFooter>
  <rowBreaks count="1" manualBreakCount="1">
    <brk id="5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Guidance</vt:lpstr>
      <vt:lpstr>Uncertainties_estimation</vt:lpstr>
      <vt:lpstr>Uncertainties_sources</vt:lpstr>
      <vt:lpstr>Guidance!Zone_d_impression</vt:lpstr>
      <vt:lpstr>Uncertainties_estimation!Zone_d_impression</vt:lpstr>
      <vt:lpstr>Uncertainties_sources!Zone_d_impression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2015-06-18T08:54:04Z</dcterms:created>
  <dcterms:modified xsi:type="dcterms:W3CDTF">2015-10-13T13:03:10Z</dcterms:modified>
</cp:coreProperties>
</file>