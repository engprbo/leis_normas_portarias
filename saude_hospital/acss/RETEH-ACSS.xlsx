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oliveira\Downloads\"/>
    </mc:Choice>
  </mc:AlternateContent>
  <xr:revisionPtr revIDLastSave="0" documentId="13_ncr:1_{010A6BB2-580F-4036-B591-00B2C41E18C0}" xr6:coauthVersionLast="47" xr6:coauthVersionMax="47" xr10:uidLastSave="{00000000-0000-0000-0000-000000000000}"/>
  <bookViews>
    <workbookView xWindow="28680" yWindow="-120" windowWidth="29040" windowHeight="15840" xr2:uid="{FBF4DE5E-7649-4A00-90BE-B5336C1E294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1" i="1" l="1"/>
  <c r="J121" i="1" s="1"/>
  <c r="I120" i="1"/>
  <c r="J120" i="1" s="1"/>
  <c r="D121" i="1"/>
  <c r="D120" i="1"/>
  <c r="J37" i="1"/>
  <c r="J36" i="1"/>
  <c r="J61" i="1"/>
  <c r="J19" i="1"/>
  <c r="J20" i="1"/>
  <c r="J30" i="1"/>
  <c r="J28" i="1"/>
  <c r="J25" i="1"/>
  <c r="J116" i="1"/>
  <c r="I112" i="1"/>
  <c r="J112" i="1" s="1"/>
  <c r="I111" i="1"/>
  <c r="J111" i="1" s="1"/>
  <c r="I110" i="1"/>
  <c r="J110" i="1" s="1"/>
  <c r="I109" i="1"/>
  <c r="J109" i="1" s="1"/>
  <c r="I108" i="1"/>
  <c r="I107" i="1"/>
  <c r="J107" i="1" s="1"/>
  <c r="I106" i="1"/>
  <c r="I105" i="1"/>
  <c r="J105" i="1" s="1"/>
  <c r="I104" i="1"/>
  <c r="I103" i="1"/>
  <c r="J103" i="1" s="1"/>
  <c r="I102" i="1"/>
  <c r="J102" i="1" s="1"/>
  <c r="I101" i="1"/>
  <c r="I94" i="1"/>
  <c r="J94" i="1" s="1"/>
  <c r="I93" i="1"/>
  <c r="J93" i="1" s="1"/>
  <c r="I92" i="1"/>
  <c r="J92" i="1" s="1"/>
  <c r="I91" i="1"/>
  <c r="J91" i="1" s="1"/>
  <c r="J113" i="1"/>
  <c r="C112" i="1"/>
  <c r="C111" i="1"/>
  <c r="C110" i="1"/>
  <c r="D109" i="1"/>
  <c r="C108" i="1"/>
  <c r="D107" i="1"/>
  <c r="C106" i="1"/>
  <c r="D105" i="1"/>
  <c r="C104" i="1"/>
  <c r="D103" i="1"/>
  <c r="D102" i="1"/>
  <c r="C101" i="1"/>
  <c r="J29" i="1"/>
  <c r="J26" i="1"/>
  <c r="J22" i="1"/>
  <c r="J35" i="1"/>
  <c r="J98" i="1"/>
  <c r="J97" i="1"/>
  <c r="J96" i="1"/>
  <c r="J95" i="1"/>
  <c r="C94" i="1"/>
  <c r="C93" i="1"/>
  <c r="C92" i="1"/>
  <c r="C91" i="1"/>
  <c r="J88" i="1"/>
  <c r="J86" i="1"/>
  <c r="J85" i="1"/>
  <c r="J77" i="1"/>
  <c r="J31" i="1"/>
  <c r="J27" i="1"/>
  <c r="J24" i="1"/>
  <c r="J23" i="1"/>
  <c r="J21" i="1"/>
  <c r="J18" i="1"/>
  <c r="J34" i="1"/>
  <c r="J33" i="1"/>
  <c r="J32" i="1"/>
  <c r="J83" i="1"/>
  <c r="J82" i="1"/>
  <c r="J81" i="1"/>
  <c r="J80" i="1"/>
  <c r="J79" i="1"/>
  <c r="J78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11" i="1"/>
  <c r="J15" i="1"/>
  <c r="J14" i="1"/>
  <c r="J8" i="1"/>
  <c r="J7" i="1"/>
</calcChain>
</file>

<file path=xl/sharedStrings.xml><?xml version="1.0" encoding="utf-8"?>
<sst xmlns="http://schemas.openxmlformats.org/spreadsheetml/2006/main" count="421" uniqueCount="171">
  <si>
    <t>CARACTERÍSTICAS</t>
  </si>
  <si>
    <t>SIMB.</t>
  </si>
  <si>
    <t>UNID.</t>
  </si>
  <si>
    <t>VALOR</t>
  </si>
  <si>
    <t>OBSERVAÇÃO</t>
  </si>
  <si>
    <t>01.</t>
  </si>
  <si>
    <t>Ligação à rede pública</t>
  </si>
  <si>
    <t>-</t>
  </si>
  <si>
    <t>●</t>
  </si>
  <si>
    <t>Rede em dupla derivação</t>
  </si>
  <si>
    <t>Rede em anel</t>
  </si>
  <si>
    <t>Sim (x)</t>
  </si>
  <si>
    <t>02.</t>
  </si>
  <si>
    <t>Autoprodução de Energia</t>
  </si>
  <si>
    <t>Quantidade de equipamentos</t>
  </si>
  <si>
    <t>un</t>
  </si>
  <si>
    <t>kVA</t>
  </si>
  <si>
    <t>03.</t>
  </si>
  <si>
    <t>Potência Total</t>
  </si>
  <si>
    <t>Carga Instalada</t>
  </si>
  <si>
    <t>Demanda</t>
  </si>
  <si>
    <t>Capacidade efetiva de cada equipamento</t>
  </si>
  <si>
    <t>Bloco operatório</t>
  </si>
  <si>
    <t>Bloco de partos</t>
  </si>
  <si>
    <t>Unidade de cuidados intensivos</t>
  </si>
  <si>
    <t>Serviços de urgência</t>
  </si>
  <si>
    <t>Cirurgia de ambulatório</t>
  </si>
  <si>
    <t>Serviço de patologia clínica</t>
  </si>
  <si>
    <t>URDMUM</t>
  </si>
  <si>
    <t>Zonas funcionais existente</t>
  </si>
  <si>
    <t>Notas:</t>
  </si>
  <si>
    <t>Local onde o doente permanece em observação</t>
  </si>
  <si>
    <t>Central de emergência</t>
  </si>
  <si>
    <t>Sala de quadros</t>
  </si>
  <si>
    <t>Central de comunicação</t>
  </si>
  <si>
    <t>Central de segurança</t>
  </si>
  <si>
    <t>Posto de transformação</t>
  </si>
  <si>
    <t>○</t>
  </si>
  <si>
    <t>Local de exames</t>
  </si>
  <si>
    <t>Local de tratamentos</t>
  </si>
  <si>
    <t>Sala de urgência</t>
  </si>
  <si>
    <t>Sala de colheita</t>
  </si>
  <si>
    <t>Enfermaria de cuidados intermediários</t>
  </si>
  <si>
    <t>Refeitório</t>
  </si>
  <si>
    <t>Cozinha</t>
  </si>
  <si>
    <t>Casa mortuária</t>
  </si>
  <si>
    <t>Sala de imagiologia</t>
  </si>
  <si>
    <t>Central técnica</t>
  </si>
  <si>
    <t>Gabinete de consulta</t>
  </si>
  <si>
    <t>Laboratório</t>
  </si>
  <si>
    <t>Farmácia</t>
  </si>
  <si>
    <t>Heliporto</t>
  </si>
  <si>
    <t>Ambientes existente</t>
  </si>
  <si>
    <t>Equipamentos existente</t>
  </si>
  <si>
    <t>Imagiologia</t>
  </si>
  <si>
    <t>Apoio à urgência</t>
  </si>
  <si>
    <t>Frigorífico</t>
  </si>
  <si>
    <t>Grupo hidropressor</t>
  </si>
  <si>
    <t>Unidade de ar comprimido de zonas críticas</t>
  </si>
  <si>
    <t>Equipamento de esterilização</t>
  </si>
  <si>
    <t>Caldeira da central térmica</t>
  </si>
  <si>
    <t>Elevador</t>
  </si>
  <si>
    <t>Equipamento de comunicação</t>
  </si>
  <si>
    <t>Equipamento informáticos</t>
  </si>
  <si>
    <t>Equipamento de segurança</t>
  </si>
  <si>
    <t>Equpamento de gestão técnica</t>
  </si>
  <si>
    <t>Equipamento laboratorial computadorizado</t>
  </si>
  <si>
    <t>Relógios</t>
  </si>
  <si>
    <t>Som</t>
  </si>
  <si>
    <t>04.</t>
  </si>
  <si>
    <r>
      <rPr>
        <vertAlign val="superscript"/>
        <sz val="10"/>
        <color theme="1"/>
        <rFont val="Arial Narrow"/>
        <family val="2"/>
      </rPr>
      <t>(1)</t>
    </r>
    <r>
      <rPr>
        <sz val="10"/>
        <color theme="1"/>
        <rFont val="Arial Narrow"/>
        <family val="2"/>
      </rPr>
      <t xml:space="preserve"> A iluminação de emergência deve ter baterias próprias ou ter alimentação assegarada por centrais dedicadas (preferencialmente).</t>
    </r>
  </si>
  <si>
    <r>
      <rPr>
        <vertAlign val="superscript"/>
        <sz val="10"/>
        <color theme="1"/>
        <rFont val="Arial Narrow"/>
        <family val="2"/>
      </rPr>
      <t>(2)</t>
    </r>
    <r>
      <rPr>
        <sz val="10"/>
        <color theme="1"/>
        <rFont val="Arial Narrow"/>
        <family val="2"/>
      </rPr>
      <t xml:space="preserve"> Nas unidades de cuidados intensivos, intermediários, especiais e pós-anestésicos a autonomia não deve ser inferior a 30 min. com carga total.</t>
    </r>
  </si>
  <si>
    <t>Paciente em risco de vida</t>
  </si>
  <si>
    <t>Oferecem risco à segurança das instalações</t>
  </si>
  <si>
    <t>Não suportam falha na energia &gt; 0,5 seg.</t>
  </si>
  <si>
    <r>
      <t xml:space="preserve">Iluminação de emergência obrigatória </t>
    </r>
    <r>
      <rPr>
        <vertAlign val="superscript"/>
        <sz val="10"/>
        <color theme="1"/>
        <rFont val="Arial Narrow"/>
        <family val="2"/>
      </rPr>
      <t>(1)</t>
    </r>
  </si>
  <si>
    <r>
      <t xml:space="preserve">Iluminação de segurança na circulação </t>
    </r>
    <r>
      <rPr>
        <vertAlign val="superscript"/>
        <sz val="10"/>
        <color theme="1"/>
        <rFont val="Arial Narrow"/>
        <family val="2"/>
      </rPr>
      <t>(1)</t>
    </r>
  </si>
  <si>
    <r>
      <t xml:space="preserve">Iluminação de segurança da sinalização de saída </t>
    </r>
    <r>
      <rPr>
        <vertAlign val="superscript"/>
        <sz val="10"/>
        <color theme="1"/>
        <rFont val="Arial Narrow"/>
        <family val="2"/>
      </rPr>
      <t>(1)</t>
    </r>
  </si>
  <si>
    <t>Unidade de Cuidados Especiais</t>
  </si>
  <si>
    <t>05.</t>
  </si>
  <si>
    <t>06.</t>
  </si>
  <si>
    <t>07.</t>
  </si>
  <si>
    <t>LEGENDA</t>
  </si>
  <si>
    <t>ES - Energia Socorrida</t>
  </si>
  <si>
    <t>Sistema de cogeração / trigeração</t>
  </si>
  <si>
    <t>Neonatologia</t>
  </si>
  <si>
    <t>Unidade de cuidados pós-anestésicos</t>
  </si>
  <si>
    <t>Unidade de cuidados especiais</t>
  </si>
  <si>
    <t>Unidade de cuidados intermédios</t>
  </si>
  <si>
    <t>Sala de Recobro</t>
  </si>
  <si>
    <r>
      <rPr>
        <vertAlign val="superscript"/>
        <sz val="10"/>
        <color theme="1"/>
        <rFont val="Arial Narrow"/>
        <family val="2"/>
      </rPr>
      <t>(3)</t>
    </r>
    <r>
      <rPr>
        <sz val="10"/>
        <color theme="1"/>
        <rFont val="Arial Narrow"/>
        <family val="2"/>
      </rPr>
      <t xml:space="preserve"> Nas armaduras de luz sem sombra a autonomia não deve ser inferior a 60 min. com carga total.</t>
    </r>
  </si>
  <si>
    <r>
      <rPr>
        <vertAlign val="superscript"/>
        <sz val="10"/>
        <color theme="1"/>
        <rFont val="Arial Narrow"/>
        <family val="2"/>
      </rPr>
      <t>(4)</t>
    </r>
    <r>
      <rPr>
        <sz val="10"/>
        <color theme="1"/>
        <rFont val="Arial Narrow"/>
        <family val="2"/>
      </rPr>
      <t xml:space="preserve"> No bloco operatório, unidade de cuidados intensivos e cuidados intermédios as UPSs devem ter redundância.</t>
    </r>
  </si>
  <si>
    <t>S - Rede Socorrida de energia</t>
  </si>
  <si>
    <t>UPS - Rede sem Interrupção de energia</t>
  </si>
  <si>
    <t>N - Rede Normal de energia</t>
  </si>
  <si>
    <t>08.</t>
  </si>
  <si>
    <t>Rede de Baixa Tensão</t>
  </si>
  <si>
    <t>Cargas críticas</t>
  </si>
  <si>
    <t>%</t>
  </si>
  <si>
    <r>
      <rPr>
        <sz val="10"/>
        <color theme="1"/>
        <rFont val="Arial"/>
        <family val="2"/>
      </rPr>
      <t>Δ</t>
    </r>
    <r>
      <rPr>
        <sz val="10"/>
        <color theme="1"/>
        <rFont val="Arial Narrow"/>
        <family val="2"/>
      </rPr>
      <t>u</t>
    </r>
  </si>
  <si>
    <t>Queda de tensão máxima encontrada</t>
  </si>
  <si>
    <t>Taxa de harmônicos verificada</t>
  </si>
  <si>
    <t>Fator de potência máximo encontrado</t>
  </si>
  <si>
    <t>09.</t>
  </si>
  <si>
    <t>Sala de tratamento de medicina de reabilitação</t>
  </si>
  <si>
    <t>Sala aberta</t>
  </si>
  <si>
    <t>Quarto de isolamento</t>
  </si>
  <si>
    <t>Sala de parto</t>
  </si>
  <si>
    <t>URDMUM - Unidade de Reprocessamento de Dispositivos Médicos de Uso Múltiplo</t>
  </si>
  <si>
    <r>
      <rPr>
        <vertAlign val="superscript"/>
        <sz val="10"/>
        <color theme="1"/>
        <rFont val="Arial Narrow"/>
        <family val="2"/>
      </rPr>
      <t>(5)</t>
    </r>
    <r>
      <rPr>
        <sz val="10"/>
        <color theme="1"/>
        <rFont val="Arial Narrow"/>
        <family val="2"/>
      </rPr>
      <t xml:space="preserve"> Nas salas que prestam informação sobre o estado de carga da(s) bateria(s), deve existir sinal acústico e luminoso quando a carga da(s) bateria(s) &lt; 50%.</t>
    </r>
  </si>
  <si>
    <r>
      <rPr>
        <vertAlign val="superscript"/>
        <sz val="10"/>
        <color theme="1"/>
        <rFont val="Arial Narrow"/>
        <family val="2"/>
      </rPr>
      <t>(6)</t>
    </r>
    <r>
      <rPr>
        <sz val="10"/>
        <color theme="1"/>
        <rFont val="Arial Narrow"/>
        <family val="2"/>
      </rPr>
      <t xml:space="preserve"> Obrigatório comunicação com o GTC.</t>
    </r>
  </si>
  <si>
    <r>
      <t xml:space="preserve">UPS </t>
    </r>
    <r>
      <rPr>
        <vertAlign val="superscript"/>
        <sz val="10"/>
        <color theme="1"/>
        <rFont val="Arial Narrow"/>
        <family val="2"/>
      </rPr>
      <t>(2) (3) (4) (5) (6)</t>
    </r>
  </si>
  <si>
    <r>
      <rPr>
        <vertAlign val="superscript"/>
        <sz val="10"/>
        <color theme="1"/>
        <rFont val="Arial Narrow"/>
        <family val="2"/>
      </rPr>
      <t>(7)</t>
    </r>
    <r>
      <rPr>
        <sz val="10"/>
        <color theme="1"/>
        <rFont val="Arial Narrow"/>
        <family val="2"/>
      </rPr>
      <t xml:space="preserve"> Alimnetação dupla pela rede socorrida e normal.</t>
    </r>
  </si>
  <si>
    <r>
      <t xml:space="preserve">Rede de Baixa Tensão com Neutro isolado (IT Médico) </t>
    </r>
    <r>
      <rPr>
        <vertAlign val="superscript"/>
        <sz val="10"/>
        <color theme="1"/>
        <rFont val="Arial Narrow"/>
        <family val="2"/>
      </rPr>
      <t>(6) (7)</t>
    </r>
  </si>
  <si>
    <t>Equipamentos de segurança contra incêndio</t>
  </si>
  <si>
    <t>10.</t>
  </si>
  <si>
    <t>Aterramento</t>
  </si>
  <si>
    <t>O condutor de proteção é distinto do condutor de neutro</t>
  </si>
  <si>
    <t>e deve é estabelecido ao longo de toda a instalação.</t>
  </si>
  <si>
    <t>Pavimento anti estático condutivo obrigatório</t>
  </si>
  <si>
    <t>PC - Pavimento Anti Estático Condutivo</t>
  </si>
  <si>
    <r>
      <rPr>
        <vertAlign val="superscript"/>
        <sz val="10"/>
        <color theme="1"/>
        <rFont val="Arial Narrow"/>
        <family val="2"/>
      </rPr>
      <t>(8)</t>
    </r>
    <r>
      <rPr>
        <sz val="10"/>
        <color theme="1"/>
        <rFont val="Arial Narrow"/>
        <family val="2"/>
      </rPr>
      <t xml:space="preserve"> Resistência elétrica do pavimento deve estar entre 50 kΩ e 100 MΩ.</t>
    </r>
  </si>
  <si>
    <r>
      <t xml:space="preserve">Unidade de cuidados intensivos </t>
    </r>
    <r>
      <rPr>
        <vertAlign val="superscript"/>
        <sz val="10"/>
        <color theme="1"/>
        <rFont val="Arial Narrow"/>
        <family val="2"/>
      </rPr>
      <t>(8)</t>
    </r>
  </si>
  <si>
    <r>
      <t xml:space="preserve">Sala de operações </t>
    </r>
    <r>
      <rPr>
        <vertAlign val="superscript"/>
        <sz val="10"/>
        <color theme="1"/>
        <rFont val="Arial Narrow"/>
        <family val="2"/>
      </rPr>
      <t>(8)</t>
    </r>
  </si>
  <si>
    <r>
      <t xml:space="preserve">Unidade de cuidados especiais </t>
    </r>
    <r>
      <rPr>
        <vertAlign val="superscript"/>
        <sz val="10"/>
        <color theme="1"/>
        <rFont val="Arial Narrow"/>
        <family val="2"/>
      </rPr>
      <t>(8)</t>
    </r>
  </si>
  <si>
    <r>
      <t xml:space="preserve">Unidade de cuidados pós-anestésicos </t>
    </r>
    <r>
      <rPr>
        <vertAlign val="superscript"/>
        <sz val="10"/>
        <color theme="1"/>
        <rFont val="Arial Narrow"/>
        <family val="2"/>
      </rPr>
      <t>(8)</t>
    </r>
  </si>
  <si>
    <r>
      <t xml:space="preserve">Sala de angiografia </t>
    </r>
    <r>
      <rPr>
        <vertAlign val="superscript"/>
        <sz val="10"/>
        <color theme="1"/>
        <rFont val="Arial Narrow"/>
        <family val="2"/>
      </rPr>
      <t>(8)</t>
    </r>
  </si>
  <si>
    <r>
      <t xml:space="preserve">Sala de cateterismo cardíaco </t>
    </r>
    <r>
      <rPr>
        <vertAlign val="superscript"/>
        <sz val="10"/>
        <color theme="1"/>
        <rFont val="Arial Narrow"/>
        <family val="2"/>
      </rPr>
      <t>(8)</t>
    </r>
  </si>
  <si>
    <r>
      <t xml:space="preserve">Sala de Informática </t>
    </r>
    <r>
      <rPr>
        <vertAlign val="superscript"/>
        <sz val="10"/>
        <color theme="1"/>
        <rFont val="Arial Narrow"/>
        <family val="2"/>
      </rPr>
      <t>(8)</t>
    </r>
  </si>
  <si>
    <t>Gaiola de Faraday</t>
  </si>
  <si>
    <t>RMN</t>
  </si>
  <si>
    <t>Sala de Ressonância Magnética Nuclear</t>
  </si>
  <si>
    <t>Sala de Fiseoterapia com ondas curtas ou micro-ondas</t>
  </si>
  <si>
    <t>Verificar a necessidade de blindagem eletrostática para as sala dos equipamentos de eletrodiagnósticos (EEG, ECG e EMG) dedicados a pesquisa em diagnóstico.</t>
  </si>
  <si>
    <t>As aparelhagens de proteção instaladas no QGBT ou com calibres nominais iguais ou superiores a 630 A devem ser do tipo extraível, assim como as do bloco</t>
  </si>
  <si>
    <t>operatório, unidades de cuidados intensivos e serviços de urgência.</t>
  </si>
  <si>
    <t>11.</t>
  </si>
  <si>
    <t>Iluminação</t>
  </si>
  <si>
    <t>IR</t>
  </si>
  <si>
    <t>Índice de restituição cromática geral</t>
  </si>
  <si>
    <t>Geral</t>
  </si>
  <si>
    <t>Sala de Exame</t>
  </si>
  <si>
    <t>Sala de Tratamento</t>
  </si>
  <si>
    <t>Sala de Operação</t>
  </si>
  <si>
    <t>Sala de Anestesia</t>
  </si>
  <si>
    <t>Unidade de Cuidados Intensivos</t>
  </si>
  <si>
    <t>Sala de Autópsia</t>
  </si>
  <si>
    <t>≥ 85</t>
  </si>
  <si>
    <t>≥ 90</t>
  </si>
  <si>
    <t>Regulação do Fluxo Luminoso</t>
  </si>
  <si>
    <t>Salas de recobro</t>
  </si>
  <si>
    <t>Salas de operações</t>
  </si>
  <si>
    <t>Berçários</t>
  </si>
  <si>
    <t>Salas de tratamento de radioterapia</t>
  </si>
  <si>
    <t>Salas de hemodiálise</t>
  </si>
  <si>
    <t>Radiologia</t>
  </si>
  <si>
    <t>Sala de reuniões</t>
  </si>
  <si>
    <t>Salas de exames de oftalmologia</t>
  </si>
  <si>
    <t>Unidade de hospital de dia (iluminação geral)</t>
  </si>
  <si>
    <t>Unidade de internamento (iluminação geral)</t>
  </si>
  <si>
    <t>Obrigatório</t>
  </si>
  <si>
    <t>12.</t>
  </si>
  <si>
    <t>Tomadas</t>
  </si>
  <si>
    <t>Tipo “schuko” para 16 A / 250 V</t>
  </si>
  <si>
    <t>Locais de acesso ao público</t>
  </si>
  <si>
    <t>Alvéolos protegidos</t>
  </si>
  <si>
    <t>Cores</t>
  </si>
  <si>
    <t>Sistema normal</t>
  </si>
  <si>
    <t>Sistema socorrido</t>
  </si>
  <si>
    <t>Zonas críticas</t>
  </si>
  <si>
    <t>Alarme acústico e luminoso p/ disj. atuado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</si>
</sst>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b/>
      <sz val="10"/>
      <color rgb="FFFF0000"/>
      <name val="Arial Narrow"/>
      <family val="2"/>
    </font>
    <font>
      <sz val="10"/>
      <color theme="1"/>
      <name val="Arial"/>
      <family val="2"/>
    </font>
    <font>
      <vertAlign val="superscript"/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sz val="10"/>
      <color rgb="FF7030A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3" fontId="2" fillId="2" borderId="0" xfId="0" applyNumberFormat="1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righ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0" fillId="4" borderId="0" xfId="0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8F58-9375-45FA-9F67-2824AC0EDCE1}">
  <dimension ref="A1:L180"/>
  <sheetViews>
    <sheetView tabSelected="1" workbookViewId="0">
      <selection activeCell="E85" sqref="E85"/>
    </sheetView>
  </sheetViews>
  <sheetFormatPr defaultRowHeight="12.75" x14ac:dyDescent="0.2"/>
  <cols>
    <col min="1" max="5" width="3.83203125" customWidth="1"/>
    <col min="6" max="6" width="35.83203125" customWidth="1"/>
    <col min="9" max="9" width="35.83203125" customWidth="1"/>
    <col min="10" max="10" width="25.83203125" customWidth="1"/>
  </cols>
  <sheetData>
    <row r="1" spans="1:10" x14ac:dyDescent="0.2">
      <c r="A1" s="15" t="s">
        <v>0</v>
      </c>
      <c r="B1" s="15"/>
      <c r="C1" s="15"/>
      <c r="D1" s="15"/>
      <c r="E1" s="15"/>
      <c r="F1" s="15"/>
      <c r="G1" s="9" t="s">
        <v>1</v>
      </c>
      <c r="H1" s="9" t="s">
        <v>2</v>
      </c>
      <c r="I1" s="9" t="s">
        <v>3</v>
      </c>
      <c r="J1" s="9" t="s">
        <v>4</v>
      </c>
    </row>
    <row r="3" spans="1:10" x14ac:dyDescent="0.2">
      <c r="A3" t="s">
        <v>5</v>
      </c>
      <c r="B3" t="s">
        <v>18</v>
      </c>
    </row>
    <row r="4" spans="1:10" x14ac:dyDescent="0.2">
      <c r="B4" s="1" t="s">
        <v>8</v>
      </c>
      <c r="C4" t="s">
        <v>19</v>
      </c>
      <c r="H4" t="s">
        <v>16</v>
      </c>
      <c r="I4" s="6"/>
    </row>
    <row r="5" spans="1:10" x14ac:dyDescent="0.2">
      <c r="B5" s="1" t="s">
        <v>8</v>
      </c>
      <c r="C5" t="s">
        <v>20</v>
      </c>
      <c r="H5" t="s">
        <v>16</v>
      </c>
      <c r="I5" s="6"/>
    </row>
    <row r="6" spans="1:10" x14ac:dyDescent="0.2">
      <c r="B6" s="1"/>
      <c r="I6" s="6"/>
    </row>
    <row r="7" spans="1:10" x14ac:dyDescent="0.2">
      <c r="A7" t="s">
        <v>12</v>
      </c>
      <c r="B7" t="s">
        <v>6</v>
      </c>
      <c r="J7" s="4" t="str">
        <f>IF(AND(I8="",I9="")," Escolha uma das opções","")</f>
        <v xml:space="preserve"> Escolha uma das opções</v>
      </c>
    </row>
    <row r="8" spans="1:10" x14ac:dyDescent="0.2">
      <c r="B8" s="1" t="s">
        <v>8</v>
      </c>
      <c r="C8" t="s">
        <v>9</v>
      </c>
      <c r="H8" s="2" t="s">
        <v>11</v>
      </c>
      <c r="I8" s="3"/>
      <c r="J8" s="4" t="str">
        <f>IF(AND(I8="x",I9="x")," Marque apenas uma opção","")</f>
        <v/>
      </c>
    </row>
    <row r="9" spans="1:10" x14ac:dyDescent="0.2">
      <c r="B9" s="1" t="s">
        <v>8</v>
      </c>
      <c r="C9" t="s">
        <v>10</v>
      </c>
      <c r="H9" s="2" t="s">
        <v>11</v>
      </c>
      <c r="I9" s="3"/>
    </row>
    <row r="10" spans="1:10" x14ac:dyDescent="0.2">
      <c r="B10" s="1"/>
      <c r="H10" s="2"/>
      <c r="I10" s="3"/>
    </row>
    <row r="11" spans="1:10" x14ac:dyDescent="0.2">
      <c r="A11" t="s">
        <v>17</v>
      </c>
      <c r="B11" s="2" t="s">
        <v>84</v>
      </c>
      <c r="H11" s="2" t="s">
        <v>11</v>
      </c>
      <c r="I11" s="3"/>
      <c r="J11" s="4" t="str">
        <f>IF(AND(I4&gt;0,I11="")," Obrigatório","")</f>
        <v/>
      </c>
    </row>
    <row r="12" spans="1:10" x14ac:dyDescent="0.2">
      <c r="B12" s="2"/>
      <c r="H12" s="2"/>
      <c r="I12" s="3"/>
      <c r="J12" s="4"/>
    </row>
    <row r="13" spans="1:10" x14ac:dyDescent="0.2">
      <c r="A13" t="s">
        <v>69</v>
      </c>
      <c r="B13" t="s">
        <v>13</v>
      </c>
    </row>
    <row r="14" spans="1:10" x14ac:dyDescent="0.2">
      <c r="B14" s="1" t="s">
        <v>8</v>
      </c>
      <c r="C14" t="s">
        <v>14</v>
      </c>
      <c r="H14" t="s">
        <v>15</v>
      </c>
      <c r="I14" s="5"/>
      <c r="J14" s="4" t="str">
        <f>IF(I14&lt;2," Mín. = 2","")</f>
        <v xml:space="preserve"> Mín. = 2</v>
      </c>
    </row>
    <row r="15" spans="1:10" x14ac:dyDescent="0.2">
      <c r="B15" s="1" t="s">
        <v>8</v>
      </c>
      <c r="C15" t="s">
        <v>21</v>
      </c>
      <c r="H15" t="s">
        <v>16</v>
      </c>
      <c r="I15" s="6"/>
      <c r="J15" s="4" t="str">
        <f>IF(AND(I5&gt;0,I15=0)," Indicar capacidade",IF(AND(I5&gt;0,I15&gt;0,I15&lt;I5*0.75)," Cap. ñ atende (&lt; 75%)",""))</f>
        <v/>
      </c>
    </row>
    <row r="16" spans="1:10" x14ac:dyDescent="0.2">
      <c r="B16" s="1"/>
      <c r="I16" s="6"/>
      <c r="J16" s="4"/>
    </row>
    <row r="17" spans="1:10" x14ac:dyDescent="0.2">
      <c r="A17" t="s">
        <v>79</v>
      </c>
      <c r="B17" t="s">
        <v>29</v>
      </c>
      <c r="J17" s="4"/>
    </row>
    <row r="18" spans="1:10" x14ac:dyDescent="0.2">
      <c r="B18" s="1" t="s">
        <v>8</v>
      </c>
      <c r="C18" t="s">
        <v>22</v>
      </c>
      <c r="H18" s="2" t="s">
        <v>11</v>
      </c>
      <c r="I18" s="3"/>
      <c r="J18" s="4" t="str">
        <f>IF(I18="x"," ES e UPS própria=Obrig.","")</f>
        <v/>
      </c>
    </row>
    <row r="19" spans="1:10" ht="15" x14ac:dyDescent="0.2">
      <c r="B19" s="1"/>
      <c r="C19" s="1" t="s">
        <v>7</v>
      </c>
      <c r="D19" s="14" t="s">
        <v>123</v>
      </c>
      <c r="H19" s="2"/>
      <c r="I19" s="3"/>
      <c r="J19" s="4" t="str">
        <f>IF(AND(I19="x",I18="")," Marque Bloco Oper.",IF(AND(I19="x",I18="x")," PC Obrig.",""))</f>
        <v/>
      </c>
    </row>
    <row r="20" spans="1:10" ht="15" x14ac:dyDescent="0.2">
      <c r="C20" s="1" t="s">
        <v>7</v>
      </c>
      <c r="D20" t="s">
        <v>127</v>
      </c>
      <c r="H20" s="2"/>
      <c r="I20" s="3"/>
      <c r="J20" s="4" t="str">
        <f>IF(AND(I20="x",I18="")," Marque Bloco Oper.",IF(AND(I20="x",I18="x")," PC Obrig.",""))</f>
        <v/>
      </c>
    </row>
    <row r="21" spans="1:10" x14ac:dyDescent="0.2">
      <c r="B21" s="1" t="s">
        <v>8</v>
      </c>
      <c r="C21" t="s">
        <v>23</v>
      </c>
      <c r="H21" s="2" t="s">
        <v>11</v>
      </c>
      <c r="I21" s="3"/>
      <c r="J21" s="4" t="str">
        <f>IF(I21="x"," ES e UPS própria=Obrig.","")</f>
        <v/>
      </c>
    </row>
    <row r="22" spans="1:10" x14ac:dyDescent="0.2">
      <c r="B22" s="1"/>
      <c r="C22" t="s">
        <v>7</v>
      </c>
      <c r="D22" s="14" t="s">
        <v>107</v>
      </c>
      <c r="H22" s="2"/>
      <c r="I22" s="3"/>
      <c r="J22" s="4" t="str">
        <f>IF(AND(I22="x",I21="")," Marque Bloco de Parto","")</f>
        <v/>
      </c>
    </row>
    <row r="23" spans="1:10" x14ac:dyDescent="0.2">
      <c r="B23" s="1" t="s">
        <v>8</v>
      </c>
      <c r="C23" t="s">
        <v>85</v>
      </c>
      <c r="H23" s="2" t="s">
        <v>11</v>
      </c>
      <c r="I23" s="3"/>
      <c r="J23" s="4" t="str">
        <f>IF(I23="x"," ES e UPS própria=Obrig.","")</f>
        <v/>
      </c>
    </row>
    <row r="24" spans="1:10" x14ac:dyDescent="0.2">
      <c r="B24" s="1" t="s">
        <v>8</v>
      </c>
      <c r="C24" t="s">
        <v>26</v>
      </c>
      <c r="H24" s="2" t="s">
        <v>11</v>
      </c>
      <c r="I24" s="3"/>
      <c r="J24" s="4" t="str">
        <f>IF(I24="x"," ES e UPS própria=Obrig.","")</f>
        <v/>
      </c>
    </row>
    <row r="25" spans="1:10" ht="15" x14ac:dyDescent="0.2">
      <c r="B25" s="1" t="s">
        <v>8</v>
      </c>
      <c r="C25" t="s">
        <v>122</v>
      </c>
      <c r="H25" s="2" t="s">
        <v>11</v>
      </c>
      <c r="I25" s="3"/>
      <c r="J25" s="4" t="str">
        <f>IF(I25="x"," ES, PC e UPS própria=Obrig.","")</f>
        <v/>
      </c>
    </row>
    <row r="26" spans="1:10" x14ac:dyDescent="0.2">
      <c r="B26" s="1"/>
      <c r="C26" s="1" t="s">
        <v>7</v>
      </c>
      <c r="D26" s="14" t="s">
        <v>106</v>
      </c>
      <c r="H26" s="2"/>
      <c r="I26" s="3"/>
      <c r="J26" s="4" t="str">
        <f>IF(AND(I26="x",I25="")," Unid. cuidados intensivos","")</f>
        <v/>
      </c>
    </row>
    <row r="27" spans="1:10" x14ac:dyDescent="0.2">
      <c r="B27" s="1" t="s">
        <v>8</v>
      </c>
      <c r="C27" t="s">
        <v>88</v>
      </c>
      <c r="H27" s="2" t="s">
        <v>11</v>
      </c>
      <c r="I27" s="3"/>
      <c r="J27" s="4" t="str">
        <f>IF(I27="x"," ES e UPS própria=Obrig.","")</f>
        <v/>
      </c>
    </row>
    <row r="28" spans="1:10" ht="15" x14ac:dyDescent="0.2">
      <c r="B28" s="1" t="s">
        <v>8</v>
      </c>
      <c r="C28" t="s">
        <v>124</v>
      </c>
      <c r="H28" s="2" t="s">
        <v>11</v>
      </c>
      <c r="I28" s="3"/>
      <c r="J28" s="4" t="str">
        <f>IF(I28="x"," ES, PC e UPS própria=Obrig.","")</f>
        <v/>
      </c>
    </row>
    <row r="29" spans="1:10" x14ac:dyDescent="0.2">
      <c r="B29" s="1"/>
      <c r="C29" s="1" t="s">
        <v>7</v>
      </c>
      <c r="D29" s="14" t="s">
        <v>106</v>
      </c>
      <c r="H29" s="2"/>
      <c r="I29" s="3"/>
      <c r="J29" s="4" t="str">
        <f>IF(AND(I29="x",I28="")," Unid. cuidados especiais","")</f>
        <v/>
      </c>
    </row>
    <row r="30" spans="1:10" ht="15" x14ac:dyDescent="0.2">
      <c r="B30" s="1" t="s">
        <v>8</v>
      </c>
      <c r="C30" s="14" t="s">
        <v>125</v>
      </c>
      <c r="H30" s="2" t="s">
        <v>11</v>
      </c>
      <c r="I30" s="3"/>
      <c r="J30" s="4" t="str">
        <f>IF(I30="x"," ES, PC e UPS própria=Obrig.","")</f>
        <v/>
      </c>
    </row>
    <row r="31" spans="1:10" x14ac:dyDescent="0.2">
      <c r="B31" s="1" t="s">
        <v>8</v>
      </c>
      <c r="C31" s="14" t="s">
        <v>89</v>
      </c>
      <c r="H31" s="2" t="s">
        <v>11</v>
      </c>
      <c r="I31" s="3"/>
      <c r="J31" s="4" t="str">
        <f>IF(I31="x"," ES e UPS própria=Obrig.","")</f>
        <v/>
      </c>
    </row>
    <row r="32" spans="1:10" x14ac:dyDescent="0.2">
      <c r="B32" s="1" t="s">
        <v>8</v>
      </c>
      <c r="C32" t="s">
        <v>25</v>
      </c>
      <c r="H32" s="2" t="s">
        <v>11</v>
      </c>
      <c r="I32" s="3"/>
      <c r="J32" s="4" t="str">
        <f>IF(I32="x"," ES=Obrig.","")</f>
        <v/>
      </c>
    </row>
    <row r="33" spans="1:10" x14ac:dyDescent="0.2">
      <c r="B33" s="1" t="s">
        <v>8</v>
      </c>
      <c r="C33" t="s">
        <v>27</v>
      </c>
      <c r="H33" s="2" t="s">
        <v>11</v>
      </c>
      <c r="I33" s="3"/>
      <c r="J33" s="4" t="str">
        <f>IF(I33="x"," ES=Obrig.","")</f>
        <v/>
      </c>
    </row>
    <row r="34" spans="1:10" x14ac:dyDescent="0.2">
      <c r="B34" s="1" t="s">
        <v>8</v>
      </c>
      <c r="C34" t="s">
        <v>28</v>
      </c>
      <c r="H34" s="2" t="s">
        <v>11</v>
      </c>
      <c r="I34" s="3"/>
      <c r="J34" s="4" t="str">
        <f>IF(I34="x"," ES=Obrig.","")</f>
        <v/>
      </c>
    </row>
    <row r="35" spans="1:10" x14ac:dyDescent="0.2">
      <c r="B35" s="1" t="s">
        <v>8</v>
      </c>
      <c r="C35" s="14" t="s">
        <v>105</v>
      </c>
      <c r="H35" s="2" t="s">
        <v>11</v>
      </c>
      <c r="I35" s="3"/>
      <c r="J35" s="4" t="str">
        <f>IF(I35="x"," ES e UPS própria=Obrig.","")</f>
        <v/>
      </c>
    </row>
    <row r="36" spans="1:10" ht="15" x14ac:dyDescent="0.2">
      <c r="B36" s="1" t="s">
        <v>8</v>
      </c>
      <c r="C36" t="s">
        <v>126</v>
      </c>
      <c r="H36" s="2" t="s">
        <v>11</v>
      </c>
      <c r="I36" s="3"/>
      <c r="J36" s="4" t="str">
        <f>IF(I36="x"," ES e UPS própria=Obrig.","")</f>
        <v/>
      </c>
    </row>
    <row r="37" spans="1:10" x14ac:dyDescent="0.2">
      <c r="B37" s="1" t="s">
        <v>8</v>
      </c>
      <c r="C37" t="s">
        <v>131</v>
      </c>
      <c r="G37" t="s">
        <v>130</v>
      </c>
      <c r="H37" s="2" t="s">
        <v>11</v>
      </c>
      <c r="I37" s="3"/>
      <c r="J37" s="4" t="str">
        <f>IF(I37="x"," ES=Obrig.","")</f>
        <v/>
      </c>
    </row>
    <row r="38" spans="1:10" x14ac:dyDescent="0.2">
      <c r="B38" s="1" t="s">
        <v>8</v>
      </c>
      <c r="C38" t="s">
        <v>132</v>
      </c>
      <c r="H38" s="2" t="s">
        <v>11</v>
      </c>
      <c r="I38" s="3"/>
    </row>
    <row r="40" spans="1:10" x14ac:dyDescent="0.2">
      <c r="A40" t="s">
        <v>80</v>
      </c>
      <c r="B40" s="2" t="s">
        <v>52</v>
      </c>
    </row>
    <row r="41" spans="1:10" x14ac:dyDescent="0.2">
      <c r="B41" s="1" t="s">
        <v>8</v>
      </c>
      <c r="C41" t="s">
        <v>32</v>
      </c>
      <c r="H41" s="2" t="s">
        <v>11</v>
      </c>
      <c r="I41" s="3"/>
      <c r="J41" s="4" t="str">
        <f t="shared" ref="J41:J51" si="0">IF(I41="x"," ES=100% Ilum.","")</f>
        <v/>
      </c>
    </row>
    <row r="42" spans="1:10" x14ac:dyDescent="0.2">
      <c r="B42" s="1" t="s">
        <v>8</v>
      </c>
      <c r="C42" t="s">
        <v>33</v>
      </c>
      <c r="H42" s="2" t="s">
        <v>11</v>
      </c>
      <c r="I42" s="3"/>
      <c r="J42" s="4" t="str">
        <f t="shared" si="0"/>
        <v/>
      </c>
    </row>
    <row r="43" spans="1:10" x14ac:dyDescent="0.2">
      <c r="B43" s="1" t="s">
        <v>8</v>
      </c>
      <c r="C43" t="s">
        <v>36</v>
      </c>
      <c r="H43" s="2" t="s">
        <v>11</v>
      </c>
      <c r="I43" s="3"/>
      <c r="J43" s="4" t="str">
        <f t="shared" si="0"/>
        <v/>
      </c>
    </row>
    <row r="44" spans="1:10" x14ac:dyDescent="0.2">
      <c r="B44" s="1" t="s">
        <v>8</v>
      </c>
      <c r="C44" t="s">
        <v>34</v>
      </c>
      <c r="H44" s="2" t="s">
        <v>11</v>
      </c>
      <c r="I44" s="3"/>
      <c r="J44" s="4" t="str">
        <f t="shared" si="0"/>
        <v/>
      </c>
    </row>
    <row r="45" spans="1:10" x14ac:dyDescent="0.2">
      <c r="B45" s="1" t="s">
        <v>8</v>
      </c>
      <c r="C45" t="s">
        <v>35</v>
      </c>
      <c r="H45" s="2" t="s">
        <v>11</v>
      </c>
      <c r="I45" s="3"/>
      <c r="J45" s="4" t="str">
        <f t="shared" si="0"/>
        <v/>
      </c>
    </row>
    <row r="46" spans="1:10" x14ac:dyDescent="0.2">
      <c r="B46" s="1" t="s">
        <v>8</v>
      </c>
      <c r="C46" t="s">
        <v>31</v>
      </c>
      <c r="H46" s="2" t="s">
        <v>11</v>
      </c>
      <c r="I46" s="3"/>
      <c r="J46" s="4" t="str">
        <f t="shared" si="0"/>
        <v/>
      </c>
    </row>
    <row r="47" spans="1:10" x14ac:dyDescent="0.2">
      <c r="B47" s="1" t="s">
        <v>8</v>
      </c>
      <c r="C47" s="2" t="s">
        <v>38</v>
      </c>
      <c r="H47" s="2" t="s">
        <v>11</v>
      </c>
      <c r="I47" s="3"/>
      <c r="J47" s="4" t="str">
        <f t="shared" si="0"/>
        <v/>
      </c>
    </row>
    <row r="48" spans="1:10" x14ac:dyDescent="0.2">
      <c r="B48" s="1" t="s">
        <v>8</v>
      </c>
      <c r="C48" t="s">
        <v>39</v>
      </c>
      <c r="H48" s="2" t="s">
        <v>11</v>
      </c>
      <c r="I48" s="3"/>
      <c r="J48" s="4" t="str">
        <f t="shared" si="0"/>
        <v/>
      </c>
    </row>
    <row r="49" spans="1:10" x14ac:dyDescent="0.2">
      <c r="B49" s="1" t="s">
        <v>8</v>
      </c>
      <c r="C49" t="s">
        <v>40</v>
      </c>
      <c r="H49" s="2" t="s">
        <v>11</v>
      </c>
      <c r="I49" s="3"/>
      <c r="J49" s="4" t="str">
        <f t="shared" si="0"/>
        <v/>
      </c>
    </row>
    <row r="50" spans="1:10" x14ac:dyDescent="0.2">
      <c r="B50" s="1" t="s">
        <v>8</v>
      </c>
      <c r="C50" t="s">
        <v>41</v>
      </c>
      <c r="H50" s="2" t="s">
        <v>11</v>
      </c>
      <c r="I50" s="3"/>
      <c r="J50" s="4" t="str">
        <f t="shared" si="0"/>
        <v/>
      </c>
    </row>
    <row r="51" spans="1:10" x14ac:dyDescent="0.2">
      <c r="B51" s="1" t="s">
        <v>8</v>
      </c>
      <c r="C51" t="s">
        <v>42</v>
      </c>
      <c r="H51" s="2" t="s">
        <v>11</v>
      </c>
      <c r="I51" s="3"/>
      <c r="J51" s="4" t="str">
        <f t="shared" si="0"/>
        <v/>
      </c>
    </row>
    <row r="52" spans="1:10" x14ac:dyDescent="0.2">
      <c r="B52" s="1" t="s">
        <v>8</v>
      </c>
      <c r="C52" t="s">
        <v>43</v>
      </c>
      <c r="H52" s="2" t="s">
        <v>11</v>
      </c>
      <c r="I52" s="3"/>
      <c r="J52" s="4" t="str">
        <f t="shared" ref="J52:J60" si="1">IF(I52="x"," ES = 50% Ilum.","")</f>
        <v/>
      </c>
    </row>
    <row r="53" spans="1:10" x14ac:dyDescent="0.2">
      <c r="B53" s="1" t="s">
        <v>8</v>
      </c>
      <c r="C53" t="s">
        <v>44</v>
      </c>
      <c r="H53" s="2" t="s">
        <v>11</v>
      </c>
      <c r="I53" s="3"/>
      <c r="J53" s="4" t="str">
        <f t="shared" si="1"/>
        <v/>
      </c>
    </row>
    <row r="54" spans="1:10" x14ac:dyDescent="0.2">
      <c r="B54" s="1" t="s">
        <v>8</v>
      </c>
      <c r="C54" t="s">
        <v>45</v>
      </c>
      <c r="H54" s="2" t="s">
        <v>11</v>
      </c>
      <c r="I54" s="3"/>
      <c r="J54" s="4" t="str">
        <f t="shared" si="1"/>
        <v/>
      </c>
    </row>
    <row r="55" spans="1:10" x14ac:dyDescent="0.2">
      <c r="B55" s="1" t="s">
        <v>8</v>
      </c>
      <c r="C55" t="s">
        <v>46</v>
      </c>
      <c r="H55" s="2" t="s">
        <v>11</v>
      </c>
      <c r="I55" s="3"/>
      <c r="J55" s="4" t="str">
        <f t="shared" si="1"/>
        <v/>
      </c>
    </row>
    <row r="56" spans="1:10" x14ac:dyDescent="0.2">
      <c r="B56" s="1" t="s">
        <v>8</v>
      </c>
      <c r="C56" t="s">
        <v>47</v>
      </c>
      <c r="H56" s="2" t="s">
        <v>11</v>
      </c>
      <c r="I56" s="3"/>
      <c r="J56" s="4" t="str">
        <f t="shared" si="1"/>
        <v/>
      </c>
    </row>
    <row r="57" spans="1:10" x14ac:dyDescent="0.2">
      <c r="B57" s="1" t="s">
        <v>8</v>
      </c>
      <c r="C57" t="s">
        <v>48</v>
      </c>
      <c r="H57" s="2" t="s">
        <v>11</v>
      </c>
      <c r="I57" s="3"/>
      <c r="J57" s="4" t="str">
        <f t="shared" si="1"/>
        <v/>
      </c>
    </row>
    <row r="58" spans="1:10" x14ac:dyDescent="0.2">
      <c r="B58" s="1" t="s">
        <v>8</v>
      </c>
      <c r="C58" t="s">
        <v>49</v>
      </c>
      <c r="H58" s="2" t="s">
        <v>11</v>
      </c>
      <c r="I58" s="3"/>
      <c r="J58" s="4" t="str">
        <f t="shared" si="1"/>
        <v/>
      </c>
    </row>
    <row r="59" spans="1:10" x14ac:dyDescent="0.2">
      <c r="B59" s="1" t="s">
        <v>8</v>
      </c>
      <c r="C59" t="s">
        <v>104</v>
      </c>
      <c r="H59" s="2" t="s">
        <v>11</v>
      </c>
      <c r="I59" s="3"/>
      <c r="J59" s="4" t="str">
        <f t="shared" si="1"/>
        <v/>
      </c>
    </row>
    <row r="60" spans="1:10" x14ac:dyDescent="0.2">
      <c r="B60" s="1" t="s">
        <v>8</v>
      </c>
      <c r="C60" t="s">
        <v>50</v>
      </c>
      <c r="H60" s="2" t="s">
        <v>11</v>
      </c>
      <c r="I60" s="3"/>
      <c r="J60" s="4" t="str">
        <f t="shared" si="1"/>
        <v/>
      </c>
    </row>
    <row r="61" spans="1:10" ht="15" x14ac:dyDescent="0.2">
      <c r="B61" s="1" t="s">
        <v>8</v>
      </c>
      <c r="C61" t="s">
        <v>128</v>
      </c>
      <c r="H61" s="2" t="s">
        <v>11</v>
      </c>
      <c r="I61" s="3"/>
      <c r="J61" s="4" t="str">
        <f>IF(I61="x"," ES, PC e UPS=Obrig.","")</f>
        <v/>
      </c>
    </row>
    <row r="63" spans="1:10" x14ac:dyDescent="0.2">
      <c r="A63" t="s">
        <v>81</v>
      </c>
      <c r="B63" s="2" t="s">
        <v>53</v>
      </c>
    </row>
    <row r="64" spans="1:10" ht="15" x14ac:dyDescent="0.2">
      <c r="B64" s="1" t="s">
        <v>8</v>
      </c>
      <c r="C64" t="s">
        <v>75</v>
      </c>
      <c r="H64" s="2" t="s">
        <v>11</v>
      </c>
      <c r="I64" s="3"/>
      <c r="J64" s="4" t="str">
        <f t="shared" ref="J64:J76" si="2">IF(I64="x"," ES=100%","")</f>
        <v/>
      </c>
    </row>
    <row r="65" spans="2:10" ht="15" x14ac:dyDescent="0.2">
      <c r="B65" s="1" t="s">
        <v>8</v>
      </c>
      <c r="C65" t="s">
        <v>76</v>
      </c>
      <c r="H65" s="2" t="s">
        <v>11</v>
      </c>
      <c r="I65" s="3"/>
      <c r="J65" s="4" t="str">
        <f t="shared" si="2"/>
        <v/>
      </c>
    </row>
    <row r="66" spans="2:10" ht="15" x14ac:dyDescent="0.2">
      <c r="B66" s="1" t="s">
        <v>8</v>
      </c>
      <c r="C66" t="s">
        <v>77</v>
      </c>
      <c r="H66" s="2" t="s">
        <v>11</v>
      </c>
      <c r="I66" s="3"/>
      <c r="J66" s="4" t="str">
        <f t="shared" si="2"/>
        <v/>
      </c>
    </row>
    <row r="67" spans="2:10" x14ac:dyDescent="0.2">
      <c r="B67" s="1" t="s">
        <v>8</v>
      </c>
      <c r="C67" t="s">
        <v>51</v>
      </c>
      <c r="H67" s="2" t="s">
        <v>11</v>
      </c>
      <c r="I67" s="3"/>
      <c r="J67" s="4" t="str">
        <f t="shared" si="2"/>
        <v/>
      </c>
    </row>
    <row r="68" spans="2:10" x14ac:dyDescent="0.2">
      <c r="B68" s="1" t="s">
        <v>8</v>
      </c>
      <c r="C68" s="2" t="s">
        <v>54</v>
      </c>
      <c r="H68" s="2" t="s">
        <v>11</v>
      </c>
      <c r="I68" s="3"/>
      <c r="J68" s="4" t="str">
        <f t="shared" si="2"/>
        <v/>
      </c>
    </row>
    <row r="69" spans="2:10" x14ac:dyDescent="0.2">
      <c r="B69" s="1" t="s">
        <v>8</v>
      </c>
      <c r="C69" t="s">
        <v>55</v>
      </c>
      <c r="H69" s="2" t="s">
        <v>11</v>
      </c>
      <c r="I69" s="3"/>
      <c r="J69" s="4" t="str">
        <f t="shared" si="2"/>
        <v/>
      </c>
    </row>
    <row r="70" spans="2:10" x14ac:dyDescent="0.2">
      <c r="B70" s="1" t="s">
        <v>8</v>
      </c>
      <c r="C70" t="s">
        <v>56</v>
      </c>
      <c r="H70" s="2" t="s">
        <v>11</v>
      </c>
      <c r="I70" s="3"/>
      <c r="J70" s="4" t="str">
        <f t="shared" si="2"/>
        <v/>
      </c>
    </row>
    <row r="71" spans="2:10" x14ac:dyDescent="0.2">
      <c r="B71" s="1" t="s">
        <v>8</v>
      </c>
      <c r="C71" t="s">
        <v>57</v>
      </c>
      <c r="H71" s="2" t="s">
        <v>11</v>
      </c>
      <c r="I71" s="3"/>
      <c r="J71" s="4" t="str">
        <f t="shared" si="2"/>
        <v/>
      </c>
    </row>
    <row r="72" spans="2:10" x14ac:dyDescent="0.2">
      <c r="B72" s="1" t="s">
        <v>8</v>
      </c>
      <c r="C72" t="s">
        <v>58</v>
      </c>
      <c r="H72" s="2" t="s">
        <v>11</v>
      </c>
      <c r="I72" s="3"/>
      <c r="J72" s="4" t="str">
        <f t="shared" si="2"/>
        <v/>
      </c>
    </row>
    <row r="73" spans="2:10" x14ac:dyDescent="0.2">
      <c r="B73" s="1" t="s">
        <v>8</v>
      </c>
      <c r="C73" t="s">
        <v>59</v>
      </c>
      <c r="H73" s="2" t="s">
        <v>11</v>
      </c>
      <c r="I73" s="3"/>
      <c r="J73" s="4" t="str">
        <f t="shared" si="2"/>
        <v/>
      </c>
    </row>
    <row r="74" spans="2:10" x14ac:dyDescent="0.2">
      <c r="B74" s="1" t="s">
        <v>8</v>
      </c>
      <c r="C74" t="s">
        <v>60</v>
      </c>
      <c r="H74" s="2" t="s">
        <v>11</v>
      </c>
      <c r="I74" s="3"/>
      <c r="J74" s="4" t="str">
        <f t="shared" si="2"/>
        <v/>
      </c>
    </row>
    <row r="75" spans="2:10" x14ac:dyDescent="0.2">
      <c r="B75" s="1" t="s">
        <v>8</v>
      </c>
      <c r="C75" t="s">
        <v>61</v>
      </c>
      <c r="H75" s="2" t="s">
        <v>11</v>
      </c>
      <c r="I75" s="3"/>
      <c r="J75" s="4" t="str">
        <f t="shared" si="2"/>
        <v/>
      </c>
    </row>
    <row r="76" spans="2:10" x14ac:dyDescent="0.2">
      <c r="B76" s="1" t="s">
        <v>8</v>
      </c>
      <c r="C76" t="s">
        <v>62</v>
      </c>
      <c r="H76" s="2" t="s">
        <v>11</v>
      </c>
      <c r="I76" s="3"/>
      <c r="J76" s="4" t="str">
        <f t="shared" si="2"/>
        <v/>
      </c>
    </row>
    <row r="77" spans="2:10" x14ac:dyDescent="0.2">
      <c r="B77" s="1" t="s">
        <v>8</v>
      </c>
      <c r="C77" t="s">
        <v>63</v>
      </c>
      <c r="H77" s="2" t="s">
        <v>11</v>
      </c>
      <c r="I77" s="3"/>
      <c r="J77" s="4" t="str">
        <f>IF(I77="x"," ES e UPS=Obrig.","")</f>
        <v/>
      </c>
    </row>
    <row r="78" spans="2:10" x14ac:dyDescent="0.2">
      <c r="B78" s="1" t="s">
        <v>8</v>
      </c>
      <c r="C78" t="s">
        <v>64</v>
      </c>
      <c r="H78" s="2" t="s">
        <v>11</v>
      </c>
      <c r="I78" s="3"/>
      <c r="J78" s="4" t="str">
        <f t="shared" ref="J78:J83" si="3">IF(I78="x"," ES=100%","")</f>
        <v/>
      </c>
    </row>
    <row r="79" spans="2:10" x14ac:dyDescent="0.2">
      <c r="B79" s="1" t="s">
        <v>8</v>
      </c>
      <c r="C79" t="s">
        <v>65</v>
      </c>
      <c r="H79" s="2" t="s">
        <v>11</v>
      </c>
      <c r="I79" s="3"/>
      <c r="J79" s="4" t="str">
        <f t="shared" si="3"/>
        <v/>
      </c>
    </row>
    <row r="80" spans="2:10" x14ac:dyDescent="0.2">
      <c r="B80" s="1" t="s">
        <v>8</v>
      </c>
      <c r="C80" t="s">
        <v>66</v>
      </c>
      <c r="H80" s="2" t="s">
        <v>11</v>
      </c>
      <c r="I80" s="3"/>
      <c r="J80" s="4" t="str">
        <f t="shared" si="3"/>
        <v/>
      </c>
    </row>
    <row r="81" spans="1:10" x14ac:dyDescent="0.2">
      <c r="B81" s="1" t="s">
        <v>8</v>
      </c>
      <c r="C81" t="s">
        <v>67</v>
      </c>
      <c r="H81" s="2" t="s">
        <v>11</v>
      </c>
      <c r="I81" s="3"/>
      <c r="J81" s="4" t="str">
        <f t="shared" si="3"/>
        <v/>
      </c>
    </row>
    <row r="82" spans="1:10" x14ac:dyDescent="0.2">
      <c r="B82" s="1" t="s">
        <v>8</v>
      </c>
      <c r="C82" t="s">
        <v>68</v>
      </c>
      <c r="H82" s="2" t="s">
        <v>11</v>
      </c>
      <c r="I82" s="3"/>
      <c r="J82" s="4" t="str">
        <f t="shared" si="3"/>
        <v/>
      </c>
    </row>
    <row r="83" spans="1:10" ht="15" x14ac:dyDescent="0.2">
      <c r="B83" s="1" t="s">
        <v>8</v>
      </c>
      <c r="C83" t="s">
        <v>111</v>
      </c>
      <c r="H83" s="2" t="s">
        <v>11</v>
      </c>
      <c r="I83" s="3"/>
      <c r="J83" s="4" t="str">
        <f t="shared" si="3"/>
        <v/>
      </c>
    </row>
    <row r="84" spans="1:10" x14ac:dyDescent="0.2">
      <c r="C84" s="1" t="s">
        <v>7</v>
      </c>
      <c r="D84" s="2" t="s">
        <v>52</v>
      </c>
    </row>
    <row r="85" spans="1:10" x14ac:dyDescent="0.2">
      <c r="B85" s="1"/>
      <c r="D85" s="8" t="s">
        <v>37</v>
      </c>
      <c r="E85" s="2" t="s">
        <v>72</v>
      </c>
      <c r="H85" s="2" t="s">
        <v>11</v>
      </c>
      <c r="I85" s="3"/>
      <c r="J85" s="4" t="str">
        <f>IF(I85="x"," Obrig.=100%","")</f>
        <v/>
      </c>
    </row>
    <row r="86" spans="1:10" x14ac:dyDescent="0.2">
      <c r="D86" s="8" t="s">
        <v>37</v>
      </c>
      <c r="E86" s="2" t="s">
        <v>73</v>
      </c>
      <c r="H86" s="2" t="s">
        <v>11</v>
      </c>
      <c r="I86" s="3"/>
      <c r="J86" s="4" t="str">
        <f>IF(I86="x"," Obrig.=100%","")</f>
        <v/>
      </c>
    </row>
    <row r="87" spans="1:10" x14ac:dyDescent="0.2">
      <c r="B87" s="1"/>
      <c r="C87" s="1" t="s">
        <v>7</v>
      </c>
      <c r="D87" s="2" t="s">
        <v>53</v>
      </c>
      <c r="H87" s="2"/>
      <c r="J87" s="4"/>
    </row>
    <row r="88" spans="1:10" x14ac:dyDescent="0.2">
      <c r="D88" s="8" t="s">
        <v>37</v>
      </c>
      <c r="E88" t="s">
        <v>74</v>
      </c>
      <c r="H88" s="2" t="s">
        <v>11</v>
      </c>
      <c r="I88" s="3"/>
      <c r="J88" s="4" t="str">
        <f>IF(I88="x"," Obrig.=100%","")</f>
        <v/>
      </c>
    </row>
    <row r="90" spans="1:10" x14ac:dyDescent="0.2">
      <c r="A90" t="s">
        <v>95</v>
      </c>
      <c r="B90" t="s">
        <v>96</v>
      </c>
    </row>
    <row r="91" spans="1:10" x14ac:dyDescent="0.2">
      <c r="B91" s="1" t="s">
        <v>8</v>
      </c>
      <c r="C91" s="12" t="str">
        <f>C18</f>
        <v>Bloco operatório</v>
      </c>
      <c r="H91" s="2" t="s">
        <v>11</v>
      </c>
      <c r="I91" s="13" t="str">
        <f>IF(I18="x","x","")</f>
        <v/>
      </c>
      <c r="J91" s="4" t="str">
        <f>IF(I91="x"," Obrig. alim. dedicada","")</f>
        <v/>
      </c>
    </row>
    <row r="92" spans="1:10" x14ac:dyDescent="0.2">
      <c r="B92" s="1" t="s">
        <v>8</v>
      </c>
      <c r="C92" s="12" t="str">
        <f>C24</f>
        <v>Cirurgia de ambulatório</v>
      </c>
      <c r="H92" s="2" t="s">
        <v>11</v>
      </c>
      <c r="I92" s="13" t="str">
        <f>IF(I24="x","x","")</f>
        <v/>
      </c>
      <c r="J92" s="4" t="str">
        <f>IF(I92="x"," Obrig. alim. dedicada","")</f>
        <v/>
      </c>
    </row>
    <row r="93" spans="1:10" x14ac:dyDescent="0.2">
      <c r="B93" s="1" t="s">
        <v>8</v>
      </c>
      <c r="C93" s="12" t="str">
        <f>C25</f>
        <v>Unidade de cuidados intensivos (8)</v>
      </c>
      <c r="H93" s="2" t="s">
        <v>11</v>
      </c>
      <c r="I93" s="13" t="str">
        <f>IF(I25="x","x","")</f>
        <v/>
      </c>
      <c r="J93" s="4" t="str">
        <f>IF(I93="x"," Obrig. alim. dedicada","")</f>
        <v/>
      </c>
    </row>
    <row r="94" spans="1:10" x14ac:dyDescent="0.2">
      <c r="B94" s="1" t="s">
        <v>8</v>
      </c>
      <c r="C94" s="12" t="str">
        <f>C32</f>
        <v>Serviços de urgência</v>
      </c>
      <c r="H94" s="2" t="s">
        <v>11</v>
      </c>
      <c r="I94" s="13" t="str">
        <f>IF(I49="x","x","")</f>
        <v/>
      </c>
      <c r="J94" s="4" t="str">
        <f>IF(I94="x"," Obrig. alim. dedicada","")</f>
        <v/>
      </c>
    </row>
    <row r="95" spans="1:10" x14ac:dyDescent="0.2">
      <c r="B95" s="1" t="s">
        <v>8</v>
      </c>
      <c r="C95" t="s">
        <v>97</v>
      </c>
      <c r="H95" s="2" t="s">
        <v>11</v>
      </c>
      <c r="I95" s="3"/>
      <c r="J95" s="4" t="str">
        <f>IF(I95="x"," Obrig. alim. dedicada","")</f>
        <v/>
      </c>
    </row>
    <row r="96" spans="1:10" x14ac:dyDescent="0.2">
      <c r="B96" s="1" t="s">
        <v>8</v>
      </c>
      <c r="C96" t="s">
        <v>100</v>
      </c>
      <c r="G96" t="s">
        <v>99</v>
      </c>
      <c r="H96" s="2" t="s">
        <v>98</v>
      </c>
      <c r="I96" s="6"/>
      <c r="J96" s="4" t="str">
        <f>IF(I96&gt;3," Δu &gt; 3%","")</f>
        <v/>
      </c>
    </row>
    <row r="97" spans="1:10" x14ac:dyDescent="0.2">
      <c r="B97" s="1" t="s">
        <v>8</v>
      </c>
      <c r="C97" t="s">
        <v>101</v>
      </c>
      <c r="H97" s="2" t="s">
        <v>11</v>
      </c>
      <c r="I97" s="3"/>
      <c r="J97" s="4" t="str">
        <f>IF(I97="x"," Obrig. verificar","")</f>
        <v/>
      </c>
    </row>
    <row r="98" spans="1:10" x14ac:dyDescent="0.2">
      <c r="B98" s="1" t="s">
        <v>8</v>
      </c>
      <c r="C98" t="s">
        <v>102</v>
      </c>
      <c r="I98" s="6"/>
      <c r="J98" s="4" t="str">
        <f>IF(I98&lt;0.96," FP mín. = 0,96","")</f>
        <v xml:space="preserve"> FP mín. = 0,96</v>
      </c>
    </row>
    <row r="100" spans="1:10" ht="15" x14ac:dyDescent="0.2">
      <c r="A100" t="s">
        <v>103</v>
      </c>
      <c r="B100" s="2" t="s">
        <v>113</v>
      </c>
    </row>
    <row r="101" spans="1:10" x14ac:dyDescent="0.2">
      <c r="B101" s="1" t="s">
        <v>8</v>
      </c>
      <c r="C101" s="12" t="str">
        <f>C18</f>
        <v>Bloco operatório</v>
      </c>
      <c r="H101" s="2" t="s">
        <v>11</v>
      </c>
      <c r="I101" s="13" t="str">
        <f>IF(I18="x","x","")</f>
        <v/>
      </c>
    </row>
    <row r="102" spans="1:10" x14ac:dyDescent="0.2">
      <c r="B102" s="1"/>
      <c r="C102" s="1" t="s">
        <v>7</v>
      </c>
      <c r="D102" s="12" t="str">
        <f>D19</f>
        <v>Sala de operações (8)</v>
      </c>
      <c r="H102" s="2" t="s">
        <v>11</v>
      </c>
      <c r="I102" s="13" t="str">
        <f>IF(I19="x","x","")</f>
        <v/>
      </c>
      <c r="J102" s="4" t="str">
        <f>IF(I102="x"," Obrig. IT Médico","")</f>
        <v/>
      </c>
    </row>
    <row r="103" spans="1:10" x14ac:dyDescent="0.2">
      <c r="C103" s="1" t="s">
        <v>7</v>
      </c>
      <c r="D103" s="12" t="str">
        <f>D20</f>
        <v>Sala de cateterismo cardíaco (8)</v>
      </c>
      <c r="H103" s="2" t="s">
        <v>11</v>
      </c>
      <c r="I103" s="13" t="str">
        <f>IF(I20="x","x","")</f>
        <v/>
      </c>
      <c r="J103" s="4" t="str">
        <f>IF(I103="x"," Obrig. IT Médico","")</f>
        <v/>
      </c>
    </row>
    <row r="104" spans="1:10" x14ac:dyDescent="0.2">
      <c r="B104" s="1" t="s">
        <v>8</v>
      </c>
      <c r="C104" s="12" t="str">
        <f>C21</f>
        <v>Bloco de partos</v>
      </c>
      <c r="H104" s="2" t="s">
        <v>11</v>
      </c>
      <c r="I104" s="13" t="str">
        <f>IF(I21="x","x","")</f>
        <v/>
      </c>
    </row>
    <row r="105" spans="1:10" x14ac:dyDescent="0.2">
      <c r="C105" s="1" t="s">
        <v>7</v>
      </c>
      <c r="D105" s="12" t="str">
        <f>D22</f>
        <v>Sala de parto</v>
      </c>
      <c r="H105" s="2" t="s">
        <v>11</v>
      </c>
      <c r="I105" s="13" t="str">
        <f>IF(I22="x","x","")</f>
        <v/>
      </c>
      <c r="J105" s="4" t="str">
        <f>IF(I105="x"," Obrig. IT Médico","")</f>
        <v/>
      </c>
    </row>
    <row r="106" spans="1:10" x14ac:dyDescent="0.2">
      <c r="B106" s="1" t="s">
        <v>8</v>
      </c>
      <c r="C106" s="12" t="str">
        <f>C25</f>
        <v>Unidade de cuidados intensivos (8)</v>
      </c>
      <c r="H106" s="2" t="s">
        <v>11</v>
      </c>
      <c r="I106" s="13" t="str">
        <f>IF(I25="x","x","")</f>
        <v/>
      </c>
    </row>
    <row r="107" spans="1:10" x14ac:dyDescent="0.2">
      <c r="C107" s="1" t="s">
        <v>7</v>
      </c>
      <c r="D107" s="12" t="str">
        <f>D26</f>
        <v>Quarto de isolamento</v>
      </c>
      <c r="H107" s="2" t="s">
        <v>11</v>
      </c>
      <c r="I107" s="13" t="str">
        <f>IF(I26="x","x","")</f>
        <v/>
      </c>
      <c r="J107" s="4" t="str">
        <f>IF(I107="x"," Obrig. IT Médico","")</f>
        <v/>
      </c>
    </row>
    <row r="108" spans="1:10" x14ac:dyDescent="0.2">
      <c r="B108" s="1" t="s">
        <v>8</v>
      </c>
      <c r="C108" s="12" t="str">
        <f>C28</f>
        <v>Unidade de cuidados especiais (8)</v>
      </c>
      <c r="H108" s="2" t="s">
        <v>11</v>
      </c>
      <c r="I108" s="13" t="str">
        <f>IF(I28="x","x","")</f>
        <v/>
      </c>
    </row>
    <row r="109" spans="1:10" x14ac:dyDescent="0.2">
      <c r="C109" s="1" t="s">
        <v>7</v>
      </c>
      <c r="D109" s="12" t="str">
        <f>D29</f>
        <v>Quarto de isolamento</v>
      </c>
      <c r="H109" s="2" t="s">
        <v>11</v>
      </c>
      <c r="I109" s="13" t="str">
        <f>IF(I29="x","x","")</f>
        <v/>
      </c>
      <c r="J109" s="4" t="str">
        <f>IF(I109="x"," Obrig. IT Médico","")</f>
        <v/>
      </c>
    </row>
    <row r="110" spans="1:10" x14ac:dyDescent="0.2">
      <c r="B110" s="1" t="s">
        <v>8</v>
      </c>
      <c r="C110" s="12" t="str">
        <f>C30</f>
        <v>Unidade de cuidados pós-anestésicos (8)</v>
      </c>
      <c r="H110" s="2" t="s">
        <v>11</v>
      </c>
      <c r="I110" s="13" t="str">
        <f>IF(I30="x","x","")</f>
        <v/>
      </c>
      <c r="J110" s="4" t="str">
        <f>IF(I110="x"," Obrig. IT Médico","")</f>
        <v/>
      </c>
    </row>
    <row r="111" spans="1:10" x14ac:dyDescent="0.2">
      <c r="B111" s="1" t="s">
        <v>8</v>
      </c>
      <c r="C111" s="12" t="str">
        <f>C31</f>
        <v>Sala de Recobro</v>
      </c>
      <c r="H111" s="2" t="s">
        <v>11</v>
      </c>
      <c r="I111" s="13" t="str">
        <f>IF(I31="x","x","")</f>
        <v/>
      </c>
      <c r="J111" s="4" t="str">
        <f>IF(I111="x"," Obrig. IT Médico","")</f>
        <v/>
      </c>
    </row>
    <row r="112" spans="1:10" x14ac:dyDescent="0.2">
      <c r="B112" s="1" t="s">
        <v>8</v>
      </c>
      <c r="C112" s="12" t="str">
        <f>C35</f>
        <v>Sala aberta</v>
      </c>
      <c r="H112" s="2" t="s">
        <v>11</v>
      </c>
      <c r="I112" s="13" t="str">
        <f>IF(I35="x","x","")</f>
        <v/>
      </c>
      <c r="J112" s="4" t="str">
        <f>IF(I112="x"," Obrig. IT Médico","")</f>
        <v/>
      </c>
    </row>
    <row r="113" spans="1:12" x14ac:dyDescent="0.2">
      <c r="B113" s="1" t="s">
        <v>8</v>
      </c>
      <c r="C113" t="s">
        <v>114</v>
      </c>
      <c r="H113" s="2" t="s">
        <v>11</v>
      </c>
      <c r="I113" s="3"/>
      <c r="J113" s="4" t="str">
        <f>IF(I113="x"," Obrig. IT Médico","")</f>
        <v/>
      </c>
    </row>
    <row r="115" spans="1:12" x14ac:dyDescent="0.2">
      <c r="A115" t="s">
        <v>115</v>
      </c>
      <c r="B115" s="2" t="s">
        <v>116</v>
      </c>
    </row>
    <row r="116" spans="1:12" x14ac:dyDescent="0.2">
      <c r="B116" s="1" t="s">
        <v>8</v>
      </c>
      <c r="C116" t="s">
        <v>117</v>
      </c>
      <c r="H116" s="2" t="s">
        <v>11</v>
      </c>
      <c r="I116" s="3"/>
      <c r="J116" s="4" t="str">
        <f>IF(AND(I4&gt;0,I116="")," Obrig.","")</f>
        <v/>
      </c>
    </row>
    <row r="117" spans="1:12" x14ac:dyDescent="0.2">
      <c r="B117" s="1"/>
      <c r="C117" t="s">
        <v>118</v>
      </c>
    </row>
    <row r="118" spans="1:12" x14ac:dyDescent="0.2">
      <c r="B118" s="1" t="s">
        <v>8</v>
      </c>
      <c r="C118" t="s">
        <v>119</v>
      </c>
    </row>
    <row r="119" spans="1:12" x14ac:dyDescent="0.2">
      <c r="B119" s="1" t="s">
        <v>8</v>
      </c>
      <c r="C119" t="s">
        <v>129</v>
      </c>
    </row>
    <row r="120" spans="1:12" x14ac:dyDescent="0.2">
      <c r="B120" s="1"/>
      <c r="C120" s="1" t="s">
        <v>7</v>
      </c>
      <c r="D120" s="12" t="str">
        <f>C37</f>
        <v>Sala de Ressonância Magnética Nuclear</v>
      </c>
      <c r="H120" s="2" t="s">
        <v>11</v>
      </c>
      <c r="I120" s="13" t="str">
        <f>IF(I37="x","x","")</f>
        <v/>
      </c>
      <c r="J120" s="4" t="str">
        <f>IF(I120="x"," Obrig.","")</f>
        <v/>
      </c>
    </row>
    <row r="121" spans="1:12" x14ac:dyDescent="0.2">
      <c r="B121" s="1"/>
      <c r="C121" s="1" t="s">
        <v>7</v>
      </c>
      <c r="D121" s="12" t="str">
        <f>C38</f>
        <v>Sala de Fiseoterapia com ondas curtas ou micro-ondas</v>
      </c>
      <c r="H121" s="2" t="s">
        <v>11</v>
      </c>
      <c r="I121" s="13" t="str">
        <f>IF(I38="x","x","")</f>
        <v/>
      </c>
      <c r="J121" s="4" t="str">
        <f>IF(I121="x"," Obrig.","")</f>
        <v/>
      </c>
    </row>
    <row r="122" spans="1:12" x14ac:dyDescent="0.2">
      <c r="L122" s="7"/>
    </row>
    <row r="123" spans="1:12" x14ac:dyDescent="0.2">
      <c r="A123" t="s">
        <v>136</v>
      </c>
      <c r="B123" t="s">
        <v>137</v>
      </c>
    </row>
    <row r="124" spans="1:12" x14ac:dyDescent="0.2">
      <c r="B124" s="1" t="s">
        <v>8</v>
      </c>
      <c r="C124" t="s">
        <v>139</v>
      </c>
    </row>
    <row r="125" spans="1:12" x14ac:dyDescent="0.2">
      <c r="C125" s="1" t="s">
        <v>7</v>
      </c>
      <c r="D125" t="s">
        <v>140</v>
      </c>
      <c r="G125" t="s">
        <v>138</v>
      </c>
      <c r="I125" t="s">
        <v>147</v>
      </c>
      <c r="K125" s="7"/>
    </row>
    <row r="126" spans="1:12" x14ac:dyDescent="0.2">
      <c r="C126" s="1" t="s">
        <v>7</v>
      </c>
      <c r="D126" t="s">
        <v>141</v>
      </c>
      <c r="G126" t="s">
        <v>138</v>
      </c>
      <c r="I126" t="s">
        <v>148</v>
      </c>
    </row>
    <row r="127" spans="1:12" x14ac:dyDescent="0.2">
      <c r="C127" s="1" t="s">
        <v>7</v>
      </c>
      <c r="D127" t="s">
        <v>142</v>
      </c>
      <c r="G127" t="s">
        <v>138</v>
      </c>
      <c r="I127" t="s">
        <v>148</v>
      </c>
    </row>
    <row r="128" spans="1:12" x14ac:dyDescent="0.2">
      <c r="C128" s="1" t="s">
        <v>7</v>
      </c>
      <c r="D128" t="s">
        <v>143</v>
      </c>
      <c r="G128" t="s">
        <v>138</v>
      </c>
      <c r="I128" t="s">
        <v>148</v>
      </c>
    </row>
    <row r="129" spans="2:9" x14ac:dyDescent="0.2">
      <c r="C129" s="1" t="s">
        <v>7</v>
      </c>
      <c r="D129" t="s">
        <v>144</v>
      </c>
      <c r="G129" t="s">
        <v>138</v>
      </c>
      <c r="I129" t="s">
        <v>148</v>
      </c>
    </row>
    <row r="130" spans="2:9" x14ac:dyDescent="0.2">
      <c r="C130" s="1" t="s">
        <v>7</v>
      </c>
      <c r="D130" t="s">
        <v>89</v>
      </c>
      <c r="G130" t="s">
        <v>138</v>
      </c>
      <c r="I130" t="s">
        <v>148</v>
      </c>
    </row>
    <row r="131" spans="2:9" x14ac:dyDescent="0.2">
      <c r="C131" s="1" t="s">
        <v>7</v>
      </c>
      <c r="D131" t="s">
        <v>145</v>
      </c>
      <c r="G131" t="s">
        <v>138</v>
      </c>
      <c r="I131" t="s">
        <v>148</v>
      </c>
    </row>
    <row r="132" spans="2:9" x14ac:dyDescent="0.2">
      <c r="C132" s="1" t="s">
        <v>7</v>
      </c>
      <c r="D132" t="s">
        <v>78</v>
      </c>
      <c r="G132" t="s">
        <v>138</v>
      </c>
      <c r="I132" t="s">
        <v>148</v>
      </c>
    </row>
    <row r="133" spans="2:9" x14ac:dyDescent="0.2">
      <c r="C133" s="1" t="s">
        <v>7</v>
      </c>
      <c r="D133" t="s">
        <v>49</v>
      </c>
      <c r="G133" t="s">
        <v>138</v>
      </c>
      <c r="I133" t="s">
        <v>148</v>
      </c>
    </row>
    <row r="134" spans="2:9" x14ac:dyDescent="0.2">
      <c r="C134" s="1" t="s">
        <v>7</v>
      </c>
      <c r="D134" t="s">
        <v>146</v>
      </c>
      <c r="G134" t="s">
        <v>138</v>
      </c>
      <c r="I134" t="s">
        <v>148</v>
      </c>
    </row>
    <row r="135" spans="2:9" x14ac:dyDescent="0.2">
      <c r="B135" s="1" t="s">
        <v>8</v>
      </c>
      <c r="C135" s="2" t="s">
        <v>149</v>
      </c>
    </row>
    <row r="136" spans="2:9" x14ac:dyDescent="0.2">
      <c r="C136" s="1" t="s">
        <v>7</v>
      </c>
      <c r="D136" t="s">
        <v>24</v>
      </c>
      <c r="I136" t="s">
        <v>160</v>
      </c>
    </row>
    <row r="137" spans="2:9" x14ac:dyDescent="0.2">
      <c r="C137" s="1" t="s">
        <v>7</v>
      </c>
      <c r="D137" t="s">
        <v>87</v>
      </c>
      <c r="I137" t="s">
        <v>160</v>
      </c>
    </row>
    <row r="138" spans="2:9" x14ac:dyDescent="0.2">
      <c r="C138" s="1" t="s">
        <v>7</v>
      </c>
      <c r="D138" t="s">
        <v>86</v>
      </c>
      <c r="I138" t="s">
        <v>160</v>
      </c>
    </row>
    <row r="139" spans="2:9" x14ac:dyDescent="0.2">
      <c r="C139" s="1" t="s">
        <v>7</v>
      </c>
      <c r="D139" t="s">
        <v>150</v>
      </c>
      <c r="I139" t="s">
        <v>160</v>
      </c>
    </row>
    <row r="140" spans="2:9" x14ac:dyDescent="0.2">
      <c r="C140" s="1" t="s">
        <v>7</v>
      </c>
      <c r="D140" t="s">
        <v>151</v>
      </c>
      <c r="I140" t="s">
        <v>160</v>
      </c>
    </row>
    <row r="141" spans="2:9" x14ac:dyDescent="0.2">
      <c r="C141" s="1" t="s">
        <v>7</v>
      </c>
      <c r="D141" t="s">
        <v>159</v>
      </c>
      <c r="I141" t="s">
        <v>160</v>
      </c>
    </row>
    <row r="142" spans="2:9" x14ac:dyDescent="0.2">
      <c r="C142" s="1" t="s">
        <v>7</v>
      </c>
      <c r="D142" t="s">
        <v>158</v>
      </c>
      <c r="I142" t="s">
        <v>160</v>
      </c>
    </row>
    <row r="143" spans="2:9" x14ac:dyDescent="0.2">
      <c r="C143" s="1" t="s">
        <v>7</v>
      </c>
      <c r="D143" t="s">
        <v>152</v>
      </c>
      <c r="I143" t="s">
        <v>160</v>
      </c>
    </row>
    <row r="144" spans="2:9" x14ac:dyDescent="0.2">
      <c r="C144" s="1" t="s">
        <v>7</v>
      </c>
      <c r="D144" t="s">
        <v>153</v>
      </c>
      <c r="I144" t="s">
        <v>160</v>
      </c>
    </row>
    <row r="145" spans="1:9" x14ac:dyDescent="0.2">
      <c r="C145" s="1" t="s">
        <v>7</v>
      </c>
      <c r="D145" t="s">
        <v>154</v>
      </c>
      <c r="I145" t="s">
        <v>160</v>
      </c>
    </row>
    <row r="146" spans="1:9" x14ac:dyDescent="0.2">
      <c r="C146" s="1" t="s">
        <v>7</v>
      </c>
      <c r="D146" t="s">
        <v>155</v>
      </c>
      <c r="I146" t="s">
        <v>160</v>
      </c>
    </row>
    <row r="147" spans="1:9" x14ac:dyDescent="0.2">
      <c r="C147" s="1" t="s">
        <v>7</v>
      </c>
      <c r="D147" t="s">
        <v>156</v>
      </c>
      <c r="I147" t="s">
        <v>160</v>
      </c>
    </row>
    <row r="148" spans="1:9" x14ac:dyDescent="0.2">
      <c r="C148" s="1" t="s">
        <v>7</v>
      </c>
      <c r="D148" t="s">
        <v>157</v>
      </c>
      <c r="I148" t="s">
        <v>160</v>
      </c>
    </row>
    <row r="150" spans="1:9" x14ac:dyDescent="0.2">
      <c r="A150" t="s">
        <v>161</v>
      </c>
      <c r="B150" t="s">
        <v>162</v>
      </c>
    </row>
    <row r="151" spans="1:9" x14ac:dyDescent="0.2">
      <c r="B151" s="1" t="s">
        <v>8</v>
      </c>
      <c r="C151" s="2" t="s">
        <v>140</v>
      </c>
      <c r="I151" t="s">
        <v>163</v>
      </c>
    </row>
    <row r="152" spans="1:9" x14ac:dyDescent="0.2">
      <c r="B152" s="1" t="s">
        <v>8</v>
      </c>
      <c r="C152" t="s">
        <v>164</v>
      </c>
      <c r="I152" t="s">
        <v>165</v>
      </c>
    </row>
    <row r="153" spans="1:9" x14ac:dyDescent="0.2">
      <c r="B153" s="1" t="s">
        <v>8</v>
      </c>
      <c r="C153" t="s">
        <v>166</v>
      </c>
    </row>
    <row r="154" spans="1:9" x14ac:dyDescent="0.2">
      <c r="C154" s="1" t="s">
        <v>7</v>
      </c>
      <c r="D154" t="s">
        <v>167</v>
      </c>
    </row>
    <row r="155" spans="1:9" x14ac:dyDescent="0.2">
      <c r="C155" s="1" t="s">
        <v>7</v>
      </c>
      <c r="D155" t="s">
        <v>168</v>
      </c>
    </row>
    <row r="156" spans="1:9" x14ac:dyDescent="0.2">
      <c r="B156" s="1" t="s">
        <v>8</v>
      </c>
      <c r="C156" t="s">
        <v>169</v>
      </c>
      <c r="I156" t="s">
        <v>170</v>
      </c>
    </row>
    <row r="158" spans="1:9" ht="15" x14ac:dyDescent="0.2">
      <c r="A158" t="s">
        <v>70</v>
      </c>
    </row>
    <row r="159" spans="1:9" ht="15" x14ac:dyDescent="0.2">
      <c r="A159" t="s">
        <v>71</v>
      </c>
    </row>
    <row r="160" spans="1:9" ht="15" x14ac:dyDescent="0.2">
      <c r="A160" t="s">
        <v>90</v>
      </c>
    </row>
    <row r="161" spans="1:2" ht="15" x14ac:dyDescent="0.2">
      <c r="A161" t="s">
        <v>91</v>
      </c>
    </row>
    <row r="162" spans="1:2" ht="15" x14ac:dyDescent="0.2">
      <c r="A162" t="s">
        <v>109</v>
      </c>
    </row>
    <row r="163" spans="1:2" ht="15" x14ac:dyDescent="0.2">
      <c r="A163" t="s">
        <v>110</v>
      </c>
    </row>
    <row r="164" spans="1:2" ht="15" x14ac:dyDescent="0.2">
      <c r="A164" t="s">
        <v>112</v>
      </c>
    </row>
    <row r="165" spans="1:2" ht="15" x14ac:dyDescent="0.2">
      <c r="A165" t="s">
        <v>121</v>
      </c>
    </row>
    <row r="167" spans="1:2" x14ac:dyDescent="0.2">
      <c r="A167" s="11" t="s">
        <v>30</v>
      </c>
    </row>
    <row r="168" spans="1:2" x14ac:dyDescent="0.2">
      <c r="A168" t="s">
        <v>5</v>
      </c>
      <c r="B168" t="s">
        <v>133</v>
      </c>
    </row>
    <row r="169" spans="1:2" x14ac:dyDescent="0.2">
      <c r="A169" t="s">
        <v>12</v>
      </c>
      <c r="B169" t="s">
        <v>134</v>
      </c>
    </row>
    <row r="170" spans="1:2" x14ac:dyDescent="0.2">
      <c r="B170" t="s">
        <v>135</v>
      </c>
    </row>
    <row r="174" spans="1:2" x14ac:dyDescent="0.2">
      <c r="A174" s="10" t="s">
        <v>82</v>
      </c>
    </row>
    <row r="175" spans="1:2" x14ac:dyDescent="0.2">
      <c r="A175" t="s">
        <v>83</v>
      </c>
    </row>
    <row r="176" spans="1:2" x14ac:dyDescent="0.2">
      <c r="A176" t="s">
        <v>94</v>
      </c>
    </row>
    <row r="177" spans="1:1" x14ac:dyDescent="0.2">
      <c r="A177" t="s">
        <v>92</v>
      </c>
    </row>
    <row r="178" spans="1:1" x14ac:dyDescent="0.2">
      <c r="A178" t="s">
        <v>93</v>
      </c>
    </row>
    <row r="179" spans="1:1" x14ac:dyDescent="0.2">
      <c r="A179" t="s">
        <v>108</v>
      </c>
    </row>
    <row r="180" spans="1:1" x14ac:dyDescent="0.2">
      <c r="A180" t="s">
        <v>120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Oliveira</dc:creator>
  <cp:lastModifiedBy>Paulo Oliveira</cp:lastModifiedBy>
  <dcterms:created xsi:type="dcterms:W3CDTF">2024-05-23T08:41:00Z</dcterms:created>
  <dcterms:modified xsi:type="dcterms:W3CDTF">2024-05-24T09:55:40Z</dcterms:modified>
</cp:coreProperties>
</file>